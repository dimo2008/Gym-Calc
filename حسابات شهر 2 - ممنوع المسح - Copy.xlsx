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Other computers\My Computer\Files\مهم ممنوع المسح\"/>
    </mc:Choice>
  </mc:AlternateContent>
  <bookViews>
    <workbookView xWindow="-110" yWindow="-110" windowWidth="20380" windowHeight="12220" tabRatio="328" firstSheet="3" activeTab="4"/>
  </bookViews>
  <sheets>
    <sheet name="اجمالى 9" sheetId="3" state="hidden" r:id="rId1"/>
    <sheet name="مصاريف 9" sheetId="4" state="hidden" r:id="rId2"/>
    <sheet name=" 9مرتبات" sheetId="5" state="hidden" r:id="rId3"/>
    <sheet name="الاشتراكات" sheetId="10" r:id="rId4"/>
    <sheet name="اجمالى" sheetId="9" r:id="rId5"/>
    <sheet name="مصاريف" sheetId="7" r:id="rId6"/>
    <sheet name="مرتبات" sheetId="8" r:id="rId7"/>
  </sheets>
  <definedNames>
    <definedName name="_xlnm._FilterDatabase" localSheetId="3" hidden="1">الاشتراكات!$A$1:$L$62</definedName>
    <definedName name="_xlnm._FilterDatabase" localSheetId="1" hidden="1">'مصاريف 9'!$A$1:$C$34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8" l="1"/>
  <c r="G61" i="10" l="1"/>
  <c r="G62" i="10"/>
  <c r="G60" i="10"/>
  <c r="G59" i="10"/>
  <c r="G58" i="10"/>
  <c r="B8" i="8"/>
  <c r="F8" i="8" s="1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D15" i="9"/>
  <c r="D14" i="9"/>
  <c r="C15" i="9"/>
  <c r="C14" i="9"/>
  <c r="B15" i="9"/>
  <c r="B14" i="9"/>
  <c r="G30" i="10"/>
  <c r="G31" i="10"/>
  <c r="G32" i="10"/>
  <c r="G33" i="10"/>
  <c r="G34" i="10"/>
  <c r="G35" i="10"/>
  <c r="G36" i="10"/>
  <c r="G37" i="10"/>
  <c r="G29" i="10"/>
  <c r="B3" i="7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F4" i="8"/>
  <c r="K19" i="9" l="1"/>
  <c r="E15" i="9"/>
  <c r="E14" i="9"/>
  <c r="G6" i="10"/>
  <c r="G5" i="10"/>
  <c r="G4" i="10"/>
  <c r="G3" i="10"/>
  <c r="G2" i="10"/>
  <c r="D33" i="9" l="1"/>
  <c r="C33" i="9"/>
  <c r="B33" i="9"/>
  <c r="E33" i="9" l="1"/>
  <c r="F2" i="8" l="1"/>
  <c r="F3" i="8"/>
  <c r="F6" i="8"/>
  <c r="D22" i="9" l="1"/>
  <c r="B7" i="8" l="1"/>
  <c r="F7" i="8" s="1"/>
  <c r="D2" i="7" l="1"/>
  <c r="C23" i="9" l="1"/>
  <c r="B23" i="9"/>
  <c r="C22" i="9"/>
  <c r="B22" i="9"/>
  <c r="D23" i="9"/>
  <c r="D32" i="9"/>
  <c r="C32" i="9"/>
  <c r="B32" i="9"/>
  <c r="D31" i="9"/>
  <c r="C31" i="9"/>
  <c r="B31" i="9"/>
  <c r="D30" i="9"/>
  <c r="C30" i="9"/>
  <c r="B30" i="9"/>
  <c r="D29" i="9"/>
  <c r="C29" i="9"/>
  <c r="B29" i="9"/>
  <c r="D28" i="9"/>
  <c r="C28" i="9"/>
  <c r="B28" i="9"/>
  <c r="D27" i="9"/>
  <c r="C27" i="9"/>
  <c r="B27" i="9"/>
  <c r="D26" i="9"/>
  <c r="C26" i="9"/>
  <c r="B26" i="9"/>
  <c r="D25" i="9"/>
  <c r="C25" i="9"/>
  <c r="B25" i="9"/>
  <c r="D24" i="9"/>
  <c r="C24" i="9"/>
  <c r="B24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C16" i="9"/>
  <c r="B16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2" i="9"/>
  <c r="C2" i="9"/>
  <c r="D16" i="9"/>
  <c r="B13" i="9"/>
  <c r="B12" i="9"/>
  <c r="B11" i="9"/>
  <c r="B10" i="9"/>
  <c r="B9" i="9"/>
  <c r="B8" i="9"/>
  <c r="B7" i="9"/>
  <c r="B6" i="9"/>
  <c r="B5" i="9"/>
  <c r="B4" i="9"/>
  <c r="B3" i="9"/>
  <c r="B2" i="9"/>
  <c r="I19" i="9" l="1"/>
  <c r="L19" i="9" s="1"/>
  <c r="G19" i="9"/>
  <c r="H19" i="9"/>
  <c r="E23" i="9"/>
  <c r="E22" i="9"/>
  <c r="E32" i="9" l="1"/>
  <c r="B2" i="3" l="1"/>
  <c r="B10" i="5"/>
  <c r="B9" i="5"/>
  <c r="B8" i="5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E9" i="9" l="1"/>
  <c r="E19" i="9"/>
  <c r="E29" i="9"/>
  <c r="E7" i="9"/>
  <c r="E17" i="9"/>
  <c r="E27" i="9"/>
  <c r="E30" i="9"/>
  <c r="E6" i="9"/>
  <c r="E16" i="9"/>
  <c r="E10" i="9"/>
  <c r="E20" i="9"/>
  <c r="E3" i="9"/>
  <c r="E11" i="9"/>
  <c r="E21" i="9"/>
  <c r="E31" i="9"/>
  <c r="E2" i="9"/>
  <c r="E5" i="9"/>
  <c r="E13" i="9"/>
  <c r="E25" i="9"/>
  <c r="E8" i="9"/>
  <c r="E18" i="9"/>
  <c r="E28" i="9"/>
  <c r="E26" i="9"/>
  <c r="E4" i="9"/>
  <c r="E12" i="9"/>
  <c r="E24" i="9"/>
  <c r="E8" i="3"/>
  <c r="E16" i="3"/>
  <c r="E18" i="3"/>
  <c r="E14" i="3"/>
  <c r="E24" i="3"/>
  <c r="E3" i="3"/>
  <c r="E6" i="3"/>
  <c r="E22" i="3"/>
  <c r="E9" i="3"/>
  <c r="B2" i="4"/>
  <c r="E7" i="3"/>
  <c r="E15" i="3"/>
  <c r="E23" i="3"/>
  <c r="E11" i="3"/>
  <c r="E19" i="3"/>
  <c r="E27" i="3"/>
  <c r="E17" i="3"/>
  <c r="E25" i="3"/>
  <c r="G2" i="3"/>
  <c r="E4" i="3"/>
  <c r="E12" i="3"/>
  <c r="E20" i="3"/>
  <c r="H2" i="3"/>
  <c r="E2" i="3"/>
  <c r="E10" i="3"/>
  <c r="E26" i="3"/>
  <c r="E5" i="3"/>
  <c r="E13" i="3"/>
  <c r="E21" i="3"/>
  <c r="I2" i="3"/>
  <c r="J19" i="9" l="1"/>
  <c r="K2" i="3"/>
  <c r="L2" i="3" s="1"/>
  <c r="J2" i="3"/>
  <c r="F2" i="4"/>
</calcChain>
</file>

<file path=xl/sharedStrings.xml><?xml version="1.0" encoding="utf-8"?>
<sst xmlns="http://schemas.openxmlformats.org/spreadsheetml/2006/main" count="646" uniqueCount="287">
  <si>
    <t>الاسم</t>
  </si>
  <si>
    <t>التليفون</t>
  </si>
  <si>
    <t>الكود</t>
  </si>
  <si>
    <t>نوع الاشتراك</t>
  </si>
  <si>
    <t>سعر الاشتراك</t>
  </si>
  <si>
    <t>المبلغ المدفوع</t>
  </si>
  <si>
    <t>المبلغ المتبقى</t>
  </si>
  <si>
    <t>تاريخ التسجيل</t>
  </si>
  <si>
    <t>شهر</t>
  </si>
  <si>
    <t>اجمالى</t>
  </si>
  <si>
    <t>اجمالى مدفوع</t>
  </si>
  <si>
    <t>اجمالى مديونيات</t>
  </si>
  <si>
    <t>ملحوظات</t>
  </si>
  <si>
    <t>كابتن ياسين</t>
  </si>
  <si>
    <t>سيدات</t>
  </si>
  <si>
    <t>برايفت 10 حصص</t>
  </si>
  <si>
    <t>برايفت 6 حصص</t>
  </si>
  <si>
    <t>رجال</t>
  </si>
  <si>
    <t>البند</t>
  </si>
  <si>
    <t>المبلغ</t>
  </si>
  <si>
    <t>التاريخ</t>
  </si>
  <si>
    <t>ايجار</t>
  </si>
  <si>
    <t>أدوات كابل</t>
  </si>
  <si>
    <t>اجمالى مصاريف</t>
  </si>
  <si>
    <t>اجمالى اشتراكات</t>
  </si>
  <si>
    <t>نقل أدوات كابل</t>
  </si>
  <si>
    <t>سرنجة</t>
  </si>
  <si>
    <t>مادليات مفاتيح</t>
  </si>
  <si>
    <t>شيكولاتة</t>
  </si>
  <si>
    <t>نقل الثلاجة</t>
  </si>
  <si>
    <t>4 زرعة رسيبشن</t>
  </si>
  <si>
    <t xml:space="preserve">أدوات نظافة </t>
  </si>
  <si>
    <t>مروحة سقف+مروحة استاند</t>
  </si>
  <si>
    <t>5 فوط</t>
  </si>
  <si>
    <t>موبيل</t>
  </si>
  <si>
    <t>شاحن+جراب+سكرينة</t>
  </si>
  <si>
    <t>براويز</t>
  </si>
  <si>
    <t>شحن كهربا</t>
  </si>
  <si>
    <t>ديتول</t>
  </si>
  <si>
    <t>مقابض أبواب</t>
  </si>
  <si>
    <t>عامل نظامة 4 أيام</t>
  </si>
  <si>
    <t>مديونيات كهربا</t>
  </si>
  <si>
    <t>مصنعية نجار+اوكر</t>
  </si>
  <si>
    <t>كهربائى</t>
  </si>
  <si>
    <t>حبر</t>
  </si>
  <si>
    <t>كابتن خالد</t>
  </si>
  <si>
    <t>كابتن بسمة</t>
  </si>
  <si>
    <t>وليد</t>
  </si>
  <si>
    <t>مصطفى</t>
  </si>
  <si>
    <t>برايفت كابتن ياسين</t>
  </si>
  <si>
    <t>برايفت كابتن خالد</t>
  </si>
  <si>
    <t>برايفت كابتن بسمة</t>
  </si>
  <si>
    <t>محمد خالد</t>
  </si>
  <si>
    <t>شحن كهرباء</t>
  </si>
  <si>
    <t>مصروفات نقل أجهزة</t>
  </si>
  <si>
    <t>احمد مجدى</t>
  </si>
  <si>
    <t>معتز</t>
  </si>
  <si>
    <t>مرتبات</t>
  </si>
  <si>
    <t>تركيب أجهزة</t>
  </si>
  <si>
    <t>مناديل5 باكتات</t>
  </si>
  <si>
    <t>ايجار شهر 9</t>
  </si>
  <si>
    <t>شغل ياسين وخالد أسبوع</t>
  </si>
  <si>
    <t>جرايد</t>
  </si>
  <si>
    <t>اشتراك النت</t>
  </si>
  <si>
    <t>شهر رجال</t>
  </si>
  <si>
    <t>شهر سيدات</t>
  </si>
  <si>
    <t>3 شهور رجال</t>
  </si>
  <si>
    <t>3 شهور سيدات</t>
  </si>
  <si>
    <t>6 شهور رجال</t>
  </si>
  <si>
    <t>6 شهور سيدات</t>
  </si>
  <si>
    <t>سنة رجال</t>
  </si>
  <si>
    <t>سنة سيدات</t>
  </si>
  <si>
    <t>العدد</t>
  </si>
  <si>
    <t>الجمالى مدفوع</t>
  </si>
  <si>
    <t>حصة يومي</t>
  </si>
  <si>
    <t>شهرين رجال</t>
  </si>
  <si>
    <t>شهرين سيدات</t>
  </si>
  <si>
    <t>برايفت 6 حصص رجال</t>
  </si>
  <si>
    <t>برايفت 6 حصص سيدات</t>
  </si>
  <si>
    <t>برايفت 10 حصص رجال</t>
  </si>
  <si>
    <t>برايفت 10 حصص سيدات</t>
  </si>
  <si>
    <t>برايفت 15 حصة رجال</t>
  </si>
  <si>
    <t>برايفت 15 حصة سيدات</t>
  </si>
  <si>
    <t>برايفت 20 حصة رجال</t>
  </si>
  <si>
    <t>برايفت 20 حصة سيدات</t>
  </si>
  <si>
    <t>حصة برايفت رجال</t>
  </si>
  <si>
    <t>حصة برايفت سيدات</t>
  </si>
  <si>
    <t>جدول تدريب رجال</t>
  </si>
  <si>
    <t>جدول تدريب سيدات</t>
  </si>
  <si>
    <t>جدول تغذية رجال</t>
  </si>
  <si>
    <t>جدول تغذية سيدات</t>
  </si>
  <si>
    <t>مديونيات</t>
  </si>
  <si>
    <t>غرامة</t>
  </si>
  <si>
    <t>اجمالى عدد الاشتراكات</t>
  </si>
  <si>
    <t>نقل اوربتراك</t>
  </si>
  <si>
    <t>خراطة أجهزة</t>
  </si>
  <si>
    <t>Column2</t>
  </si>
  <si>
    <t>الشهر</t>
  </si>
  <si>
    <t>النوع</t>
  </si>
  <si>
    <t>باقي الاشتراك</t>
  </si>
  <si>
    <t>باقى اشتراك</t>
  </si>
  <si>
    <t>3 شهور</t>
  </si>
  <si>
    <t>سنة</t>
  </si>
  <si>
    <t>برايفت 20 حصص</t>
  </si>
  <si>
    <t>برايفت 15 حصص</t>
  </si>
  <si>
    <t>برايفت 30 حصة رجال</t>
  </si>
  <si>
    <t>برايفت 30 حصة سيدات</t>
  </si>
  <si>
    <t>برايفت 30 حصص</t>
  </si>
  <si>
    <t>اشرقت</t>
  </si>
  <si>
    <t>سلفة</t>
  </si>
  <si>
    <t>مرتب</t>
  </si>
  <si>
    <t>خصومات</t>
  </si>
  <si>
    <t>باقى لم يوزع</t>
  </si>
  <si>
    <t>احمد سيف</t>
  </si>
  <si>
    <t>كاش</t>
  </si>
  <si>
    <t>انستاباى</t>
  </si>
  <si>
    <t>فودافون كاش</t>
  </si>
  <si>
    <t>الدفع</t>
  </si>
  <si>
    <t>نزار عبدالمنعم</t>
  </si>
  <si>
    <t>01015441888</t>
  </si>
  <si>
    <t>0001</t>
  </si>
  <si>
    <t>احمد وائل متولى</t>
  </si>
  <si>
    <t>سامى سمير</t>
  </si>
  <si>
    <t>فاطمة على</t>
  </si>
  <si>
    <t>رباب محمد</t>
  </si>
  <si>
    <t>01098167718</t>
  </si>
  <si>
    <t>01026514510</t>
  </si>
  <si>
    <t>229</t>
  </si>
  <si>
    <t>234</t>
  </si>
  <si>
    <t>349</t>
  </si>
  <si>
    <t>350</t>
  </si>
  <si>
    <t>01-02-2026</t>
  </si>
  <si>
    <t>02-02-2026</t>
  </si>
  <si>
    <t>03-02-2026</t>
  </si>
  <si>
    <t>مياه</t>
  </si>
  <si>
    <t>احمد نبيل</t>
  </si>
  <si>
    <t>عبدالرحمن مصطفى</t>
  </si>
  <si>
    <t>235</t>
  </si>
  <si>
    <t>225</t>
  </si>
  <si>
    <t>04-02-2026</t>
  </si>
  <si>
    <t>ياسين هشام</t>
  </si>
  <si>
    <t xml:space="preserve">معز مجدى </t>
  </si>
  <si>
    <t>مازن مجدى</t>
  </si>
  <si>
    <t>مصطفى صبحى</t>
  </si>
  <si>
    <t>سمر عبدالناصر</t>
  </si>
  <si>
    <t>عبدالرحمن اشرف</t>
  </si>
  <si>
    <t>محمد عليوة</t>
  </si>
  <si>
    <t>محمد جوهر</t>
  </si>
  <si>
    <t>01149222822</t>
  </si>
  <si>
    <t>01013900897</t>
  </si>
  <si>
    <t>01013900784</t>
  </si>
  <si>
    <t>01080792679</t>
  </si>
  <si>
    <t>01151429714</t>
  </si>
  <si>
    <t>01008989751</t>
  </si>
  <si>
    <t>172</t>
  </si>
  <si>
    <t>161</t>
  </si>
  <si>
    <t>149</t>
  </si>
  <si>
    <t>216</t>
  </si>
  <si>
    <t>348</t>
  </si>
  <si>
    <t>261</t>
  </si>
  <si>
    <t>262</t>
  </si>
  <si>
    <t>226</t>
  </si>
  <si>
    <t>6 شهور</t>
  </si>
  <si>
    <t>05-02-2026</t>
  </si>
  <si>
    <t>06-02-2026</t>
  </si>
  <si>
    <t>07-02-2026</t>
  </si>
  <si>
    <t>08-02-2026</t>
  </si>
  <si>
    <t>نت</t>
  </si>
  <si>
    <t>كهرباء</t>
  </si>
  <si>
    <t>رشا سبيل</t>
  </si>
  <si>
    <t>عبدالرحمن خميس</t>
  </si>
  <si>
    <t>محمد دسوقى</t>
  </si>
  <si>
    <t>عبدالرحمن محمد</t>
  </si>
  <si>
    <t>يوسف عربى</t>
  </si>
  <si>
    <t>محمود عغبدالمنعم</t>
  </si>
  <si>
    <t>اواب عبدالهادى</t>
  </si>
  <si>
    <t>إبراهيم عابدين</t>
  </si>
  <si>
    <t>بلال عمر</t>
  </si>
  <si>
    <t>عمرو محمد احمد</t>
  </si>
  <si>
    <t>01001229934</t>
  </si>
  <si>
    <t>01010093238</t>
  </si>
  <si>
    <t>01155332484</t>
  </si>
  <si>
    <t>01001837825</t>
  </si>
  <si>
    <t>01055890794</t>
  </si>
  <si>
    <t>01022197026</t>
  </si>
  <si>
    <t>01097403113</t>
  </si>
  <si>
    <t>309</t>
  </si>
  <si>
    <t>125</t>
  </si>
  <si>
    <t>263</t>
  </si>
  <si>
    <t>243</t>
  </si>
  <si>
    <t>264</t>
  </si>
  <si>
    <t>265</t>
  </si>
  <si>
    <t>266</t>
  </si>
  <si>
    <t>267</t>
  </si>
  <si>
    <t>236</t>
  </si>
  <si>
    <t>194</t>
  </si>
  <si>
    <t>09-02-2026</t>
  </si>
  <si>
    <t>11-02-2026</t>
  </si>
  <si>
    <t>18-02-2026</t>
  </si>
  <si>
    <t>14-02-2026</t>
  </si>
  <si>
    <t>سلف</t>
  </si>
  <si>
    <t>محمود ابوالليل</t>
  </si>
  <si>
    <t>01147909554</t>
  </si>
  <si>
    <t>268</t>
  </si>
  <si>
    <t>19-02-2026</t>
  </si>
  <si>
    <t>عمر غانم</t>
  </si>
  <si>
    <t>حسن حسام</t>
  </si>
  <si>
    <t>محمد مرزوق</t>
  </si>
  <si>
    <t>محمد المصطفى مبارك</t>
  </si>
  <si>
    <t>الغنوش مصطفى</t>
  </si>
  <si>
    <t>احمد عطية</t>
  </si>
  <si>
    <t>جنى احمد عطية</t>
  </si>
  <si>
    <t>عبد الله احمد</t>
  </si>
  <si>
    <t>01098376600</t>
  </si>
  <si>
    <t>01006637838</t>
  </si>
  <si>
    <t>0150549032</t>
  </si>
  <si>
    <t>249909128889</t>
  </si>
  <si>
    <t>249122010401</t>
  </si>
  <si>
    <t>269</t>
  </si>
  <si>
    <t>270</t>
  </si>
  <si>
    <t>271</t>
  </si>
  <si>
    <t>272</t>
  </si>
  <si>
    <t>273</t>
  </si>
  <si>
    <t>173</t>
  </si>
  <si>
    <t>325</t>
  </si>
  <si>
    <t>174</t>
  </si>
  <si>
    <t>20-02-2026</t>
  </si>
  <si>
    <t>انترنيت</t>
  </si>
  <si>
    <t>محمد المصطفى عثمان</t>
  </si>
  <si>
    <t>احمد ياسر</t>
  </si>
  <si>
    <t>الصادق هشام</t>
  </si>
  <si>
    <t>ملك محمد صلاح</t>
  </si>
  <si>
    <t>محمد عبدالعزيز محمد</t>
  </si>
  <si>
    <t>محمد هشام محمد</t>
  </si>
  <si>
    <t>باسم جابر عزب</t>
  </si>
  <si>
    <t>محمد ناصر إبراهيم</t>
  </si>
  <si>
    <t>احمد ماهر محمود</t>
  </si>
  <si>
    <t>مدحت امجد</t>
  </si>
  <si>
    <t>مصطفى موسى</t>
  </si>
  <si>
    <t>مدين محمد احمد</t>
  </si>
  <si>
    <t xml:space="preserve">ليلى خالد حامد </t>
  </si>
  <si>
    <t>ملاك محجوب محمد</t>
  </si>
  <si>
    <t>ملاك محمود محمد</t>
  </si>
  <si>
    <t>احمد ابوعبيدة</t>
  </si>
  <si>
    <t>عبدالرحمن ابوعبيدة</t>
  </si>
  <si>
    <t>ياسين يحيي عبدالحميد</t>
  </si>
  <si>
    <t>274</t>
  </si>
  <si>
    <t>202</t>
  </si>
  <si>
    <t>230</t>
  </si>
  <si>
    <t>324</t>
  </si>
  <si>
    <t>275</t>
  </si>
  <si>
    <t>276</t>
  </si>
  <si>
    <t>277</t>
  </si>
  <si>
    <t>278</t>
  </si>
  <si>
    <t>212</t>
  </si>
  <si>
    <t>280</t>
  </si>
  <si>
    <t>247</t>
  </si>
  <si>
    <t>158</t>
  </si>
  <si>
    <t>351</t>
  </si>
  <si>
    <t>352</t>
  </si>
  <si>
    <t>281</t>
  </si>
  <si>
    <t>برايفت 8 حصص</t>
  </si>
  <si>
    <t>برايفت 8 حصص رجال</t>
  </si>
  <si>
    <t>برايفت 8 حصص سيدات</t>
  </si>
  <si>
    <t>21-02-2026</t>
  </si>
  <si>
    <t>22-02-2026</t>
  </si>
  <si>
    <t>23-02-2026</t>
  </si>
  <si>
    <t>24-02-2026</t>
  </si>
  <si>
    <t>25-02-2026</t>
  </si>
  <si>
    <t>كابتن اشرقت</t>
  </si>
  <si>
    <t>برايفت كابتن اشرقت</t>
  </si>
  <si>
    <t>عبدالرحمن أسامة السيد</t>
  </si>
  <si>
    <t>فلوباتير رمسيس</t>
  </si>
  <si>
    <t>مهند احمد إسماعيل</t>
  </si>
  <si>
    <t>جميل سليمان عبدالله</t>
  </si>
  <si>
    <t>عبدالحليم عبدالله محمد</t>
  </si>
  <si>
    <t>01117154507</t>
  </si>
  <si>
    <t>01276887006</t>
  </si>
  <si>
    <t>01153160370</t>
  </si>
  <si>
    <t>282</t>
  </si>
  <si>
    <t>283</t>
  </si>
  <si>
    <t>284</t>
  </si>
  <si>
    <t>285</t>
  </si>
  <si>
    <t>286</t>
  </si>
  <si>
    <t>26-02-2026</t>
  </si>
  <si>
    <t>27-02-2026</t>
  </si>
  <si>
    <t>عمر علاء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</si>
</sst>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DEBF7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3" fontId="0" fillId="0" borderId="0" xfId="0" applyNumberFormat="1"/>
    <xf numFmtId="14" fontId="0" fillId="0" borderId="0" xfId="0" applyNumberFormat="1"/>
    <xf numFmtId="14" fontId="0" fillId="2" borderId="2" xfId="0" applyNumberFormat="1" applyFill="1" applyBorder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14" fontId="0" fillId="0" borderId="2" xfId="0" applyNumberFormat="1" applyBorder="1"/>
    <xf numFmtId="0" fontId="0" fillId="3" borderId="0" xfId="0" applyFill="1"/>
    <xf numFmtId="3" fontId="0" fillId="3" borderId="0" xfId="0" applyNumberFormat="1" applyFill="1"/>
    <xf numFmtId="0" fontId="1" fillId="0" borderId="0" xfId="0" applyFont="1"/>
    <xf numFmtId="14" fontId="2" fillId="5" borderId="3" xfId="0" applyNumberFormat="1" applyFont="1" applyFill="1" applyBorder="1" applyAlignment="1">
      <alignment readingOrder="1"/>
    </xf>
    <xf numFmtId="0" fontId="0" fillId="6" borderId="0" xfId="0" applyFill="1"/>
    <xf numFmtId="0" fontId="0" fillId="4" borderId="2" xfId="0" applyFill="1" applyBorder="1"/>
    <xf numFmtId="0" fontId="3" fillId="7" borderId="1" xfId="0" applyFont="1" applyFill="1" applyBorder="1" applyAlignment="1">
      <alignment readingOrder="2"/>
    </xf>
    <xf numFmtId="49" fontId="3" fillId="7" borderId="2" xfId="0" applyNumberFormat="1" applyFont="1" applyFill="1" applyBorder="1"/>
    <xf numFmtId="0" fontId="3" fillId="7" borderId="2" xfId="0" applyFont="1" applyFill="1" applyBorder="1"/>
    <xf numFmtId="3" fontId="3" fillId="7" borderId="2" xfId="0" applyNumberFormat="1" applyFont="1" applyFill="1" applyBorder="1"/>
    <xf numFmtId="14" fontId="3" fillId="7" borderId="2" xfId="0" applyNumberFormat="1" applyFont="1" applyFill="1" applyBorder="1"/>
    <xf numFmtId="3" fontId="3" fillId="7" borderId="4" xfId="0" applyNumberFormat="1" applyFont="1" applyFill="1" applyBorder="1"/>
    <xf numFmtId="0" fontId="0" fillId="8" borderId="2" xfId="0" applyFill="1" applyBorder="1"/>
    <xf numFmtId="0" fontId="5" fillId="0" borderId="0" xfId="0" applyFont="1"/>
    <xf numFmtId="0" fontId="4" fillId="0" borderId="0" xfId="0" applyFont="1"/>
    <xf numFmtId="0" fontId="0" fillId="9" borderId="2" xfId="0" applyFill="1" applyBorder="1"/>
    <xf numFmtId="0" fontId="0" fillId="8" borderId="0" xfId="0" applyFill="1"/>
    <xf numFmtId="3" fontId="0" fillId="10" borderId="2" xfId="0" applyNumberFormat="1" applyFill="1" applyBorder="1"/>
    <xf numFmtId="0" fontId="0" fillId="11" borderId="0" xfId="0" applyFill="1"/>
    <xf numFmtId="16" fontId="2" fillId="12" borderId="5" xfId="0" applyNumberFormat="1" applyFont="1" applyFill="1" applyBorder="1" applyAlignment="1">
      <alignment readingOrder="1"/>
    </xf>
    <xf numFmtId="49" fontId="0" fillId="0" borderId="0" xfId="0" applyNumberFormat="1"/>
    <xf numFmtId="0" fontId="0" fillId="9" borderId="0" xfId="0" applyFill="1"/>
    <xf numFmtId="14" fontId="4" fillId="0" borderId="0" xfId="0" applyNumberFormat="1" applyFont="1"/>
    <xf numFmtId="14" fontId="0" fillId="10" borderId="4" xfId="0" applyNumberFormat="1" applyFill="1" applyBorder="1"/>
    <xf numFmtId="3" fontId="0" fillId="10" borderId="0" xfId="0" applyNumberFormat="1" applyFill="1"/>
    <xf numFmtId="0" fontId="0" fillId="13" borderId="2" xfId="0" applyFill="1" applyBorder="1"/>
    <xf numFmtId="16" fontId="2" fillId="12" borderId="0" xfId="0" applyNumberFormat="1" applyFont="1" applyFill="1" applyAlignment="1">
      <alignment readingOrder="1"/>
    </xf>
    <xf numFmtId="14" fontId="0" fillId="10" borderId="6" xfId="0" applyNumberFormat="1" applyFill="1" applyBorder="1"/>
  </cellXfs>
  <cellStyles count="1">
    <cellStyle name="Normal" xfId="0" builtinId="0"/>
  </cellStyles>
  <dxfs count="9"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rightToLeft="1" zoomScale="115" zoomScaleNormal="115" workbookViewId="0">
      <selection activeCell="H10" sqref="A1:XFD1048576"/>
    </sheetView>
  </sheetViews>
  <sheetFormatPr defaultRowHeight="14.5" x14ac:dyDescent="0.35"/>
  <cols>
    <col min="1" max="1" width="19" bestFit="1" customWidth="1"/>
    <col min="2" max="2" width="4.453125" bestFit="1" customWidth="1"/>
    <col min="3" max="3" width="6.6328125" bestFit="1" customWidth="1"/>
    <col min="4" max="4" width="10.36328125" bestFit="1" customWidth="1"/>
    <col min="7" max="7" width="15.6328125" bestFit="1" customWidth="1"/>
    <col min="8" max="8" width="11.453125" bestFit="1" customWidth="1"/>
    <col min="9" max="9" width="9.90625" bestFit="1" customWidth="1"/>
    <col min="10" max="10" width="12" bestFit="1" customWidth="1"/>
    <col min="11" max="11" width="11.453125" bestFit="1" customWidth="1"/>
  </cols>
  <sheetData>
    <row r="1" spans="1:13" x14ac:dyDescent="0.35">
      <c r="B1" t="s">
        <v>72</v>
      </c>
      <c r="C1" t="s">
        <v>9</v>
      </c>
      <c r="D1" t="s">
        <v>73</v>
      </c>
      <c r="E1" t="s">
        <v>91</v>
      </c>
      <c r="G1" t="s">
        <v>93</v>
      </c>
      <c r="H1" t="s">
        <v>24</v>
      </c>
      <c r="I1" t="s">
        <v>10</v>
      </c>
      <c r="J1" t="s">
        <v>11</v>
      </c>
      <c r="K1" t="s">
        <v>23</v>
      </c>
      <c r="L1" t="s">
        <v>9</v>
      </c>
      <c r="M1" t="s">
        <v>97</v>
      </c>
    </row>
    <row r="2" spans="1:13" x14ac:dyDescent="0.35">
      <c r="A2" s="12" t="s">
        <v>64</v>
      </c>
      <c r="B2" t="e">
        <f>COUNTIFS(#REF!,"شهر",#REF!,"رجال")</f>
        <v>#REF!</v>
      </c>
      <c r="C2" s="1" t="e">
        <f>SUMIFS(#REF!,#REF!, "شهر",#REF!, "رجال")</f>
        <v>#REF!</v>
      </c>
      <c r="D2" s="1" t="e">
        <f>SUMIFS(#REF!,#REF!, "شهر",#REF!, "رجال")</f>
        <v>#REF!</v>
      </c>
      <c r="E2" s="1" t="e">
        <f>C2-D2</f>
        <v>#REF!</v>
      </c>
      <c r="G2" t="e">
        <f>SUM(B2:B27)</f>
        <v>#REF!</v>
      </c>
      <c r="H2" s="1" t="e">
        <f>SUM(C2:C28)</f>
        <v>#REF!</v>
      </c>
      <c r="I2" s="1" t="e">
        <f>SUM(D2:D28)</f>
        <v>#REF!</v>
      </c>
      <c r="J2" s="1" t="e">
        <f>SUM(E2:E28)</f>
        <v>#REF!</v>
      </c>
      <c r="K2" s="1" t="e">
        <f>SUM('مصاريف 9'!B:B)</f>
        <v>#REF!</v>
      </c>
      <c r="L2" s="1" t="e">
        <f>I2-K2</f>
        <v>#REF!</v>
      </c>
      <c r="M2">
        <v>9</v>
      </c>
    </row>
    <row r="3" spans="1:13" x14ac:dyDescent="0.35">
      <c r="A3" s="12" t="s">
        <v>65</v>
      </c>
      <c r="B3" t="e">
        <f>COUNTIFS(#REF!,"شهر",#REF!,"سيدات")</f>
        <v>#REF!</v>
      </c>
      <c r="C3" s="1" t="e">
        <f>SUMIFS(#REF!,#REF!, "شهر",#REF!, "سيدات")</f>
        <v>#REF!</v>
      </c>
      <c r="D3" s="1" t="e">
        <f>SUMIFS(#REF!,#REF!, "شهر",#REF!, "سيدات")</f>
        <v>#REF!</v>
      </c>
      <c r="E3" s="1" t="e">
        <f t="shared" ref="E3:E26" si="0">C3-D3</f>
        <v>#REF!</v>
      </c>
    </row>
    <row r="4" spans="1:13" x14ac:dyDescent="0.35">
      <c r="A4" s="12" t="s">
        <v>75</v>
      </c>
      <c r="B4" t="e">
        <f>COUNTIFS(#REF!,"شهرين",#REF!,"رجال")</f>
        <v>#REF!</v>
      </c>
      <c r="C4" s="1" t="e">
        <f>SUMIFS(#REF!,#REF!, "شهرين",#REF!, "رجال")</f>
        <v>#REF!</v>
      </c>
      <c r="D4" s="1" t="e">
        <f>SUMIFS(#REF!,#REF!, "شهرين",#REF!, "رجال")</f>
        <v>#REF!</v>
      </c>
      <c r="E4" s="1" t="e">
        <f t="shared" si="0"/>
        <v>#REF!</v>
      </c>
      <c r="G4" t="s">
        <v>93</v>
      </c>
      <c r="H4" t="s">
        <v>24</v>
      </c>
      <c r="I4" t="s">
        <v>10</v>
      </c>
      <c r="J4" t="s">
        <v>11</v>
      </c>
      <c r="K4" t="s">
        <v>23</v>
      </c>
      <c r="L4" t="s">
        <v>9</v>
      </c>
      <c r="M4" t="s">
        <v>97</v>
      </c>
    </row>
    <row r="5" spans="1:13" x14ac:dyDescent="0.35">
      <c r="A5" s="12" t="s">
        <v>76</v>
      </c>
      <c r="B5" t="e">
        <f>COUNTIFS(#REF!,"شهرين",#REF!,"سيدات")</f>
        <v>#REF!</v>
      </c>
      <c r="C5" s="1" t="e">
        <f>SUMIFS(#REF!,#REF!, "شهرين",#REF!, "سيدات")</f>
        <v>#REF!</v>
      </c>
      <c r="D5" s="1" t="e">
        <f>SUMIFS(#REF!,#REF!, "شهرين",#REF!, "سيدات")</f>
        <v>#REF!</v>
      </c>
      <c r="E5" s="1" t="e">
        <f t="shared" si="0"/>
        <v>#REF!</v>
      </c>
      <c r="G5">
        <v>119</v>
      </c>
      <c r="H5">
        <v>154480</v>
      </c>
      <c r="I5">
        <v>132730</v>
      </c>
      <c r="J5" s="1">
        <v>21750</v>
      </c>
      <c r="K5" s="1">
        <v>84695</v>
      </c>
      <c r="L5" s="1">
        <v>48035</v>
      </c>
      <c r="M5">
        <v>9</v>
      </c>
    </row>
    <row r="6" spans="1:13" x14ac:dyDescent="0.35">
      <c r="A6" s="12" t="s">
        <v>66</v>
      </c>
      <c r="B6" t="e">
        <f>COUNTIFS(#REF!,"3 شهور",#REF!,"رجال")</f>
        <v>#REF!</v>
      </c>
      <c r="C6" s="1" t="e">
        <f>SUMIFS(#REF!,#REF!, "3 شهور",#REF!, "رجال")</f>
        <v>#REF!</v>
      </c>
      <c r="D6" s="1" t="e">
        <f>SUMIFS(#REF!,#REF!, "3 شهور",#REF!, "رجال")</f>
        <v>#REF!</v>
      </c>
      <c r="E6" s="1" t="e">
        <f t="shared" si="0"/>
        <v>#REF!</v>
      </c>
    </row>
    <row r="7" spans="1:13" x14ac:dyDescent="0.35">
      <c r="A7" s="12" t="s">
        <v>67</v>
      </c>
      <c r="B7" t="e">
        <f>COUNTIFS(#REF!,"3 شهور",#REF!,"سيدات")</f>
        <v>#REF!</v>
      </c>
      <c r="C7" s="1" t="e">
        <f>SUMIFS(#REF!,#REF!, "3 شهور",#REF!, "سيدات")</f>
        <v>#REF!</v>
      </c>
      <c r="D7" s="1" t="e">
        <f>SUMIFS(#REF!,#REF!, "3 شهور",#REF!, "سيدات")</f>
        <v>#REF!</v>
      </c>
      <c r="E7" s="1" t="e">
        <f t="shared" si="0"/>
        <v>#REF!</v>
      </c>
    </row>
    <row r="8" spans="1:13" x14ac:dyDescent="0.35">
      <c r="A8" s="12" t="s">
        <v>68</v>
      </c>
      <c r="B8" t="e">
        <f>COUNTIFS(#REF!,"6 شهور",#REF!,"رجال")</f>
        <v>#REF!</v>
      </c>
      <c r="C8" s="1" t="e">
        <f>SUMIFS(#REF!,#REF!, "6 شهور",#REF!, "رجال")</f>
        <v>#REF!</v>
      </c>
      <c r="D8" s="1" t="e">
        <f>SUMIFS(#REF!,#REF!, "6 شهور",#REF!, "رجال")</f>
        <v>#REF!</v>
      </c>
      <c r="E8" s="1" t="e">
        <f t="shared" si="0"/>
        <v>#REF!</v>
      </c>
    </row>
    <row r="9" spans="1:13" x14ac:dyDescent="0.35">
      <c r="A9" s="12" t="s">
        <v>69</v>
      </c>
      <c r="B9" t="e">
        <f>COUNTIFS(#REF!,"6 شهور",#REF!,"سيدات")</f>
        <v>#REF!</v>
      </c>
      <c r="C9" s="1" t="e">
        <f>SUMIFS(#REF!,#REF!, "6 شهور",#REF!, "سيدات")</f>
        <v>#REF!</v>
      </c>
      <c r="D9" s="1" t="e">
        <f>SUMIFS(#REF!,#REF!, "6 شهور",#REF!, "سيدات")</f>
        <v>#REF!</v>
      </c>
      <c r="E9" s="1" t="e">
        <f t="shared" si="0"/>
        <v>#REF!</v>
      </c>
    </row>
    <row r="10" spans="1:13" x14ac:dyDescent="0.35">
      <c r="A10" s="12" t="s">
        <v>70</v>
      </c>
      <c r="B10" t="e">
        <f>COUNTIFS(#REF!,"سنة",#REF!,"رجال")</f>
        <v>#REF!</v>
      </c>
      <c r="C10" s="1" t="e">
        <f>SUMIFS(#REF!,#REF!, "سنة",#REF!, "رجال")</f>
        <v>#REF!</v>
      </c>
      <c r="D10" s="1" t="e">
        <f>SUMIFS(#REF!,#REF!, "سنة",#REF!, "رجال")</f>
        <v>#REF!</v>
      </c>
      <c r="E10" s="1" t="e">
        <f t="shared" si="0"/>
        <v>#REF!</v>
      </c>
    </row>
    <row r="11" spans="1:13" x14ac:dyDescent="0.35">
      <c r="A11" s="12" t="s">
        <v>71</v>
      </c>
      <c r="B11" t="e">
        <f>COUNTIFS(#REF!,"سنة",#REF!,"سيدات")</f>
        <v>#REF!</v>
      </c>
      <c r="C11" s="1" t="e">
        <f>SUMIFS(#REF!,#REF!, "سنة",#REF!, "سيدات")</f>
        <v>#REF!</v>
      </c>
      <c r="D11" s="1" t="e">
        <f>SUMIFS(#REF!,#REF!, "سنة",#REF!, "سيدات")</f>
        <v>#REF!</v>
      </c>
      <c r="E11" s="1" t="e">
        <f t="shared" si="0"/>
        <v>#REF!</v>
      </c>
    </row>
    <row r="12" spans="1:13" x14ac:dyDescent="0.35">
      <c r="A12" s="12" t="s">
        <v>77</v>
      </c>
      <c r="B12" t="e">
        <f>COUNTIFS(#REF!,"برايفت 6 حصص",#REF!,"رجال")</f>
        <v>#REF!</v>
      </c>
      <c r="C12" s="1" t="e">
        <f>SUMIFS(#REF!,#REF!, "برايفت 6 حصص",#REF!, "رجال")</f>
        <v>#REF!</v>
      </c>
      <c r="D12" s="1" t="e">
        <f>SUMIFS(#REF!,#REF!, "برايفت 6 حصص",#REF!, "رجال")</f>
        <v>#REF!</v>
      </c>
      <c r="E12" s="1" t="e">
        <f t="shared" si="0"/>
        <v>#REF!</v>
      </c>
      <c r="I12" s="1"/>
    </row>
    <row r="13" spans="1:13" x14ac:dyDescent="0.35">
      <c r="A13" s="12" t="s">
        <v>78</v>
      </c>
      <c r="B13" t="e">
        <f>COUNTIFS(#REF!,"برايفت 6 حصص",#REF!,"سيدات")</f>
        <v>#REF!</v>
      </c>
      <c r="C13" s="1" t="e">
        <f>SUMIFS(#REF!,#REF!, "برايفت 6 حصص",#REF!, "سيدات")</f>
        <v>#REF!</v>
      </c>
      <c r="D13" s="1" t="e">
        <f>SUMIFS(#REF!,#REF!, "برايفت 6 حصص",#REF!, "سيدات")</f>
        <v>#REF!</v>
      </c>
      <c r="E13" s="1" t="e">
        <f t="shared" si="0"/>
        <v>#REF!</v>
      </c>
      <c r="I13" s="1"/>
    </row>
    <row r="14" spans="1:13" x14ac:dyDescent="0.35">
      <c r="A14" s="12" t="s">
        <v>79</v>
      </c>
      <c r="B14" t="e">
        <f>COUNTIFS(#REF!,"برايفت 10 حصص",#REF!,"رجال")</f>
        <v>#REF!</v>
      </c>
      <c r="C14" s="1" t="e">
        <f>SUMIFS(#REF!,#REF!, "برايفت 10 حصص",#REF!, "رجال")</f>
        <v>#REF!</v>
      </c>
      <c r="D14" s="1" t="e">
        <f>SUMIFS(#REF!,#REF!, "برايفت 10 حصص",#REF!, "رجال")</f>
        <v>#REF!</v>
      </c>
      <c r="E14" s="1" t="e">
        <f t="shared" si="0"/>
        <v>#REF!</v>
      </c>
      <c r="I14" s="1"/>
    </row>
    <row r="15" spans="1:13" x14ac:dyDescent="0.35">
      <c r="A15" s="12" t="s">
        <v>80</v>
      </c>
      <c r="B15" t="e">
        <f>COUNTIFS(#REF!,"برايفت 10 حصص",#REF!,"سيدات")</f>
        <v>#REF!</v>
      </c>
      <c r="C15" s="1" t="e">
        <f>SUMIFS(#REF!,#REF!, "برايفت 10 حصص",#REF!, "سيدات")</f>
        <v>#REF!</v>
      </c>
      <c r="D15" s="1" t="e">
        <f>SUMIFS(#REF!,#REF!, "برايفت 10 حصص",#REF!, "سيدات")</f>
        <v>#REF!</v>
      </c>
      <c r="E15" s="1" t="e">
        <f t="shared" si="0"/>
        <v>#REF!</v>
      </c>
    </row>
    <row r="16" spans="1:13" x14ac:dyDescent="0.35">
      <c r="A16" s="12" t="s">
        <v>81</v>
      </c>
      <c r="B16" t="e">
        <f>COUNTIFS(#REF!,"برايفت 15 حصص",#REF!,"رجال")</f>
        <v>#REF!</v>
      </c>
      <c r="C16" s="1" t="e">
        <f>SUMIFS(#REF!,#REF!, "برايفت 15 حصص",#REF!, "رجال")</f>
        <v>#REF!</v>
      </c>
      <c r="D16" s="1" t="e">
        <f>SUMIFS(#REF!,#REF!, "برايفت 15 حصص",#REF!, "رجال")</f>
        <v>#REF!</v>
      </c>
      <c r="E16" s="1" t="e">
        <f t="shared" si="0"/>
        <v>#REF!</v>
      </c>
    </row>
    <row r="17" spans="1:5" x14ac:dyDescent="0.35">
      <c r="A17" s="12" t="s">
        <v>82</v>
      </c>
      <c r="B17" t="e">
        <f>COUNTIFS(#REF!,"برايفت 15 حصص",#REF!,"سيدات")</f>
        <v>#REF!</v>
      </c>
      <c r="C17" s="1" t="e">
        <f>SUMIFS(#REF!,#REF!, "برايفت 15 حصص",#REF!, "سيدات")</f>
        <v>#REF!</v>
      </c>
      <c r="D17" s="1" t="e">
        <f>SUMIFS(#REF!,#REF!, "برايفت 15 حصص",#REF!, "سيدات")</f>
        <v>#REF!</v>
      </c>
      <c r="E17" s="1" t="e">
        <f t="shared" si="0"/>
        <v>#REF!</v>
      </c>
    </row>
    <row r="18" spans="1:5" x14ac:dyDescent="0.35">
      <c r="A18" s="12" t="s">
        <v>83</v>
      </c>
      <c r="B18" t="e">
        <f>COUNTIFS(#REF!,"برايفت 20 حصص",#REF!,"رجال")</f>
        <v>#REF!</v>
      </c>
      <c r="C18" s="1" t="e">
        <f>SUMIFS(#REF!,#REF!, "برايفت 20 حصص",#REF!, "رجال")</f>
        <v>#REF!</v>
      </c>
      <c r="D18" s="1" t="e">
        <f>SUMIFS(#REF!,#REF!, "برايفت 20 حصص",#REF!, "رجال")</f>
        <v>#REF!</v>
      </c>
      <c r="E18" s="1" t="e">
        <f t="shared" si="0"/>
        <v>#REF!</v>
      </c>
    </row>
    <row r="19" spans="1:5" x14ac:dyDescent="0.35">
      <c r="A19" s="12" t="s">
        <v>84</v>
      </c>
      <c r="B19" t="e">
        <f>COUNTIFS(#REF!,"برايفت 20 حصص",#REF!,"سيدات")</f>
        <v>#REF!</v>
      </c>
      <c r="C19" s="1" t="e">
        <f>SUMIFS(#REF!,#REF!, "برايفت 20 حصص",#REF!, "سيدات")</f>
        <v>#REF!</v>
      </c>
      <c r="D19" s="1" t="e">
        <f>SUMIFS(#REF!,#REF!, "برايفت 20 حصص",#REF!, "سيدات")</f>
        <v>#REF!</v>
      </c>
      <c r="E19" s="1" t="e">
        <f t="shared" si="0"/>
        <v>#REF!</v>
      </c>
    </row>
    <row r="20" spans="1:5" x14ac:dyDescent="0.35">
      <c r="A20" s="12" t="s">
        <v>85</v>
      </c>
      <c r="B20" t="e">
        <f>COUNTIFS(#REF!,"حصة برايفت",#REF!,"رجال")</f>
        <v>#REF!</v>
      </c>
      <c r="C20" s="1" t="e">
        <f>SUMIFS(#REF!,#REF!, "حصة برايفت",#REF!, "رجال")</f>
        <v>#REF!</v>
      </c>
      <c r="D20" s="1" t="e">
        <f>SUMIFS(#REF!,#REF!, "حصة برايفت",#REF!, "رجال")</f>
        <v>#REF!</v>
      </c>
      <c r="E20" s="1" t="e">
        <f t="shared" si="0"/>
        <v>#REF!</v>
      </c>
    </row>
    <row r="21" spans="1:5" x14ac:dyDescent="0.35">
      <c r="A21" s="12" t="s">
        <v>86</v>
      </c>
      <c r="B21" t="e">
        <f>COUNTIFS(#REF!,"حصة برايفت",#REF!,"سيدات")</f>
        <v>#REF!</v>
      </c>
      <c r="C21" s="1" t="e">
        <f>SUMIFS(#REF!,#REF!, "حصة برايفت",#REF!, "سيدات")</f>
        <v>#REF!</v>
      </c>
      <c r="D21" s="1" t="e">
        <f>SUMIFS(#REF!,#REF!, "حصة برايفت",#REF!, "سيدات")</f>
        <v>#REF!</v>
      </c>
      <c r="E21" s="1" t="e">
        <f t="shared" si="0"/>
        <v>#REF!</v>
      </c>
    </row>
    <row r="22" spans="1:5" x14ac:dyDescent="0.35">
      <c r="A22" s="12" t="s">
        <v>87</v>
      </c>
      <c r="B22" t="e">
        <f>COUNTIFS(#REF!,"جدول تدريب",#REF!,"رجال")</f>
        <v>#REF!</v>
      </c>
      <c r="C22" s="1" t="e">
        <f>SUMIFS(#REF!,#REF!, "جدول تدريب",#REF!, "رجال")</f>
        <v>#REF!</v>
      </c>
      <c r="D22" s="1" t="e">
        <f>SUMIFS(#REF!,#REF!, "جدول تدريب",#REF!, "رجال")</f>
        <v>#REF!</v>
      </c>
      <c r="E22" s="1" t="e">
        <f t="shared" si="0"/>
        <v>#REF!</v>
      </c>
    </row>
    <row r="23" spans="1:5" x14ac:dyDescent="0.35">
      <c r="A23" s="12" t="s">
        <v>88</v>
      </c>
      <c r="B23" t="e">
        <f>COUNTIFS(#REF!,"جدول تدريب",#REF!,"سيدات")</f>
        <v>#REF!</v>
      </c>
      <c r="C23" s="1" t="e">
        <f>SUMIFS(#REF!,#REF!, "جدول تدريب",#REF!, "سيدات")</f>
        <v>#REF!</v>
      </c>
      <c r="D23" s="1" t="e">
        <f>SUMIFS(#REF!,#REF!, "جدول تدريب",#REF!, "سيدات")</f>
        <v>#REF!</v>
      </c>
      <c r="E23" s="1" t="e">
        <f t="shared" si="0"/>
        <v>#REF!</v>
      </c>
    </row>
    <row r="24" spans="1:5" x14ac:dyDescent="0.35">
      <c r="A24" s="12" t="s">
        <v>89</v>
      </c>
      <c r="B24" t="e">
        <f>COUNTIFS(#REF!,"جدول تغذية",#REF!,"رجال")</f>
        <v>#REF!</v>
      </c>
      <c r="C24" s="1" t="e">
        <f>SUMIFS(#REF!,#REF!, "جدول تغذية",#REF!, "رجال")</f>
        <v>#REF!</v>
      </c>
      <c r="D24" s="1" t="e">
        <f>SUMIFS(#REF!,#REF!, "جدول تغذية",#REF!, "رجال")</f>
        <v>#REF!</v>
      </c>
      <c r="E24" s="1" t="e">
        <f t="shared" si="0"/>
        <v>#REF!</v>
      </c>
    </row>
    <row r="25" spans="1:5" x14ac:dyDescent="0.35">
      <c r="A25" s="13" t="s">
        <v>90</v>
      </c>
      <c r="B25" t="e">
        <f>COUNTIFS(#REF!,"جدول تغذية",#REF!,"سيدات")</f>
        <v>#REF!</v>
      </c>
      <c r="C25" s="1" t="e">
        <f>SUMIFS(#REF!,#REF!, "جدول تغذية",#REF!, "سيدات")</f>
        <v>#REF!</v>
      </c>
      <c r="D25" s="1" t="e">
        <f>SUMIFS(#REF!,#REF!, "جدول تغذية",#REF!, "سيدات")</f>
        <v>#REF!</v>
      </c>
      <c r="E25" s="1" t="e">
        <f t="shared" si="0"/>
        <v>#REF!</v>
      </c>
    </row>
    <row r="26" spans="1:5" x14ac:dyDescent="0.35">
      <c r="A26" t="s">
        <v>74</v>
      </c>
      <c r="B26" t="e">
        <f>COUNTIFS(#REF!,"حصة يومي")</f>
        <v>#REF!</v>
      </c>
      <c r="C26" s="1" t="e">
        <f>SUMIFS(#REF!,#REF!, "حصة يومي")</f>
        <v>#REF!</v>
      </c>
      <c r="D26" s="1" t="e">
        <f>SUMIFS(#REF!,#REF!, "حصة يومي")</f>
        <v>#REF!</v>
      </c>
      <c r="E26" s="1" t="e">
        <f t="shared" si="0"/>
        <v>#REF!</v>
      </c>
    </row>
    <row r="27" spans="1:5" x14ac:dyDescent="0.35">
      <c r="A27" s="10" t="s">
        <v>92</v>
      </c>
      <c r="B27" t="e">
        <f>COUNTIFS(#REF!,"غرامة")</f>
        <v>#REF!</v>
      </c>
      <c r="C27" s="1" t="e">
        <f>SUMIFS(#REF!,#REF!, "غرامة")</f>
        <v>#REF!</v>
      </c>
      <c r="D27" s="1" t="e">
        <f>SUMIFS(#REF!,#REF!, "غرامة")</f>
        <v>#REF!</v>
      </c>
      <c r="E27" s="1" t="e">
        <f>C27-D27</f>
        <v>#REF!</v>
      </c>
    </row>
    <row r="28" spans="1:5" x14ac:dyDescent="0.35">
      <c r="E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rightToLeft="1" topLeftCell="A6" workbookViewId="0">
      <selection activeCell="D30" sqref="A1:D40"/>
    </sheetView>
  </sheetViews>
  <sheetFormatPr defaultRowHeight="14.5" x14ac:dyDescent="0.35"/>
  <cols>
    <col min="1" max="1" width="19.54296875" bestFit="1" customWidth="1"/>
    <col min="2" max="2" width="6.453125" style="1" bestFit="1" customWidth="1"/>
    <col min="3" max="3" width="10.36328125" bestFit="1" customWidth="1"/>
  </cols>
  <sheetData>
    <row r="1" spans="1:6" x14ac:dyDescent="0.35">
      <c r="A1" t="s">
        <v>18</v>
      </c>
      <c r="B1" s="1" t="s">
        <v>19</v>
      </c>
      <c r="C1" t="s">
        <v>20</v>
      </c>
      <c r="F1" t="s">
        <v>9</v>
      </c>
    </row>
    <row r="2" spans="1:6" x14ac:dyDescent="0.35">
      <c r="A2" s="8" t="s">
        <v>57</v>
      </c>
      <c r="B2" s="9" t="e">
        <f>SUM(' 9مرتبات'!B:B)</f>
        <v>#REF!</v>
      </c>
      <c r="C2" s="2">
        <v>45930</v>
      </c>
      <c r="F2" s="1" t="e">
        <f>SUM(B:B)</f>
        <v>#REF!</v>
      </c>
    </row>
    <row r="3" spans="1:6" x14ac:dyDescent="0.35">
      <c r="A3" t="s">
        <v>21</v>
      </c>
      <c r="B3" s="1">
        <v>10000</v>
      </c>
      <c r="C3" s="7">
        <v>45916</v>
      </c>
    </row>
    <row r="4" spans="1:6" x14ac:dyDescent="0.35">
      <c r="A4" t="s">
        <v>22</v>
      </c>
      <c r="B4" s="1">
        <v>7150</v>
      </c>
      <c r="C4" s="7">
        <v>45916</v>
      </c>
    </row>
    <row r="5" spans="1:6" x14ac:dyDescent="0.35">
      <c r="A5" t="s">
        <v>25</v>
      </c>
      <c r="B5" s="1">
        <v>100</v>
      </c>
      <c r="C5" s="7">
        <v>45916</v>
      </c>
    </row>
    <row r="6" spans="1:6" x14ac:dyDescent="0.35">
      <c r="A6" t="s">
        <v>26</v>
      </c>
      <c r="B6" s="1">
        <v>15</v>
      </c>
      <c r="C6" s="7">
        <v>45916</v>
      </c>
    </row>
    <row r="7" spans="1:6" x14ac:dyDescent="0.35">
      <c r="A7" t="s">
        <v>27</v>
      </c>
      <c r="B7" s="1">
        <v>100</v>
      </c>
      <c r="C7" s="7">
        <v>45916</v>
      </c>
    </row>
    <row r="8" spans="1:6" x14ac:dyDescent="0.35">
      <c r="A8" t="s">
        <v>28</v>
      </c>
      <c r="B8" s="1">
        <v>800</v>
      </c>
      <c r="C8" s="7">
        <v>45916</v>
      </c>
    </row>
    <row r="9" spans="1:6" x14ac:dyDescent="0.35">
      <c r="A9" t="s">
        <v>31</v>
      </c>
      <c r="B9" s="1">
        <v>430</v>
      </c>
      <c r="C9" s="7">
        <v>45916</v>
      </c>
    </row>
    <row r="10" spans="1:6" x14ac:dyDescent="0.35">
      <c r="A10" t="s">
        <v>29</v>
      </c>
      <c r="B10" s="1">
        <v>200</v>
      </c>
      <c r="C10" s="7">
        <v>45916</v>
      </c>
    </row>
    <row r="11" spans="1:6" x14ac:dyDescent="0.35">
      <c r="A11" t="s">
        <v>30</v>
      </c>
      <c r="B11" s="1">
        <v>950</v>
      </c>
      <c r="C11" s="7">
        <v>45916</v>
      </c>
    </row>
    <row r="12" spans="1:6" x14ac:dyDescent="0.35">
      <c r="A12" t="s">
        <v>32</v>
      </c>
      <c r="B12" s="1">
        <v>1800</v>
      </c>
      <c r="C12" s="7">
        <v>45916</v>
      </c>
    </row>
    <row r="13" spans="1:6" x14ac:dyDescent="0.35">
      <c r="A13" t="s">
        <v>33</v>
      </c>
      <c r="B13" s="1">
        <v>100</v>
      </c>
      <c r="C13" s="7">
        <v>45916</v>
      </c>
    </row>
    <row r="14" spans="1:6" x14ac:dyDescent="0.35">
      <c r="A14" t="s">
        <v>34</v>
      </c>
      <c r="B14" s="1">
        <v>4800</v>
      </c>
      <c r="C14" s="7">
        <v>45916</v>
      </c>
    </row>
    <row r="15" spans="1:6" x14ac:dyDescent="0.35">
      <c r="A15" t="s">
        <v>35</v>
      </c>
      <c r="B15" s="1">
        <v>400</v>
      </c>
      <c r="C15" s="7">
        <v>45916</v>
      </c>
    </row>
    <row r="16" spans="1:6" x14ac:dyDescent="0.35">
      <c r="A16" t="s">
        <v>61</v>
      </c>
      <c r="B16" s="1">
        <v>1000</v>
      </c>
      <c r="C16" s="7">
        <v>45916</v>
      </c>
    </row>
    <row r="17" spans="1:5" x14ac:dyDescent="0.35">
      <c r="A17" t="s">
        <v>62</v>
      </c>
      <c r="B17" s="1">
        <v>50</v>
      </c>
      <c r="C17" s="7">
        <v>45916</v>
      </c>
    </row>
    <row r="18" spans="1:5" x14ac:dyDescent="0.35">
      <c r="A18" t="s">
        <v>36</v>
      </c>
      <c r="B18" s="1">
        <v>565</v>
      </c>
      <c r="C18" s="7">
        <v>45916</v>
      </c>
    </row>
    <row r="19" spans="1:5" x14ac:dyDescent="0.35">
      <c r="A19" t="s">
        <v>37</v>
      </c>
      <c r="B19" s="1">
        <v>520</v>
      </c>
      <c r="C19" s="7">
        <v>45916</v>
      </c>
    </row>
    <row r="20" spans="1:5" x14ac:dyDescent="0.35">
      <c r="A20" t="s">
        <v>38</v>
      </c>
      <c r="B20" s="1">
        <v>200</v>
      </c>
      <c r="C20" s="7">
        <v>45916</v>
      </c>
    </row>
    <row r="21" spans="1:5" x14ac:dyDescent="0.35">
      <c r="A21" t="s">
        <v>39</v>
      </c>
      <c r="B21" s="1">
        <v>200</v>
      </c>
      <c r="C21" s="7">
        <v>45916</v>
      </c>
    </row>
    <row r="22" spans="1:5" x14ac:dyDescent="0.35">
      <c r="A22" t="s">
        <v>40</v>
      </c>
      <c r="B22" s="1">
        <v>200</v>
      </c>
      <c r="C22" s="7">
        <v>45916</v>
      </c>
    </row>
    <row r="23" spans="1:5" x14ac:dyDescent="0.35">
      <c r="A23" t="s">
        <v>41</v>
      </c>
      <c r="B23" s="1">
        <v>620</v>
      </c>
      <c r="C23" s="7">
        <v>45916</v>
      </c>
    </row>
    <row r="24" spans="1:5" x14ac:dyDescent="0.35">
      <c r="A24" t="s">
        <v>37</v>
      </c>
      <c r="B24" s="1">
        <v>520</v>
      </c>
      <c r="C24" s="7">
        <v>45916</v>
      </c>
    </row>
    <row r="25" spans="1:5" x14ac:dyDescent="0.35">
      <c r="A25" t="s">
        <v>42</v>
      </c>
      <c r="B25" s="1">
        <v>230</v>
      </c>
      <c r="C25" s="7">
        <v>45916</v>
      </c>
    </row>
    <row r="26" spans="1:5" x14ac:dyDescent="0.35">
      <c r="A26" t="s">
        <v>43</v>
      </c>
      <c r="B26" s="1">
        <v>1200</v>
      </c>
      <c r="C26" s="7">
        <v>45920</v>
      </c>
    </row>
    <row r="27" spans="1:5" x14ac:dyDescent="0.35">
      <c r="A27" t="s">
        <v>44</v>
      </c>
      <c r="B27" s="1">
        <v>160</v>
      </c>
      <c r="C27" s="7">
        <v>45920</v>
      </c>
    </row>
    <row r="28" spans="1:5" x14ac:dyDescent="0.35">
      <c r="A28" t="s">
        <v>37</v>
      </c>
      <c r="B28" s="1">
        <v>720</v>
      </c>
      <c r="C28" s="7">
        <v>45920</v>
      </c>
    </row>
    <row r="29" spans="1:5" x14ac:dyDescent="0.35">
      <c r="A29" t="s">
        <v>53</v>
      </c>
      <c r="B29" s="1">
        <v>110</v>
      </c>
      <c r="C29" s="3">
        <v>45922</v>
      </c>
    </row>
    <row r="30" spans="1:5" x14ac:dyDescent="0.35">
      <c r="A30" s="4" t="s">
        <v>54</v>
      </c>
      <c r="B30">
        <v>1600</v>
      </c>
      <c r="C30" s="7">
        <v>45924</v>
      </c>
      <c r="D30" s="5" t="s">
        <v>55</v>
      </c>
      <c r="E30" s="6"/>
    </row>
    <row r="31" spans="1:5" x14ac:dyDescent="0.35">
      <c r="A31" t="s">
        <v>53</v>
      </c>
      <c r="B31" s="1">
        <v>520</v>
      </c>
      <c r="C31" s="7">
        <v>45924</v>
      </c>
      <c r="D31" t="s">
        <v>55</v>
      </c>
    </row>
    <row r="32" spans="1:5" x14ac:dyDescent="0.35">
      <c r="A32" s="8" t="s">
        <v>58</v>
      </c>
      <c r="B32" s="9">
        <v>1000</v>
      </c>
      <c r="C32" s="7">
        <v>45925</v>
      </c>
    </row>
    <row r="33" spans="1:3" x14ac:dyDescent="0.35">
      <c r="A33" s="8" t="s">
        <v>59</v>
      </c>
      <c r="B33" s="9">
        <v>650</v>
      </c>
      <c r="C33" s="7">
        <v>45925</v>
      </c>
    </row>
    <row r="34" spans="1:3" x14ac:dyDescent="0.35">
      <c r="A34" s="8" t="s">
        <v>60</v>
      </c>
      <c r="B34" s="9">
        <v>20000</v>
      </c>
      <c r="C34" s="2">
        <v>45930</v>
      </c>
    </row>
    <row r="35" spans="1:3" x14ac:dyDescent="0.35">
      <c r="A35" s="8" t="s">
        <v>63</v>
      </c>
      <c r="B35" s="1">
        <v>390</v>
      </c>
      <c r="C35" s="7">
        <v>45925</v>
      </c>
    </row>
    <row r="36" spans="1:3" x14ac:dyDescent="0.35">
      <c r="A36" s="8" t="s">
        <v>53</v>
      </c>
      <c r="B36" s="1">
        <v>200</v>
      </c>
      <c r="C36" s="7">
        <v>45927</v>
      </c>
    </row>
    <row r="37" spans="1:3" x14ac:dyDescent="0.35">
      <c r="A37" s="8" t="s">
        <v>53</v>
      </c>
      <c r="B37" s="1">
        <v>200</v>
      </c>
      <c r="C37" s="11">
        <v>45928</v>
      </c>
    </row>
    <row r="38" spans="1:3" x14ac:dyDescent="0.35">
      <c r="A38" s="8" t="s">
        <v>94</v>
      </c>
      <c r="B38" s="1">
        <v>500</v>
      </c>
      <c r="C38" s="11">
        <v>45930</v>
      </c>
    </row>
    <row r="39" spans="1:3" x14ac:dyDescent="0.35">
      <c r="A39" s="8" t="s">
        <v>95</v>
      </c>
      <c r="B39" s="1">
        <v>250</v>
      </c>
      <c r="C39" s="11">
        <v>45930</v>
      </c>
    </row>
    <row r="40" spans="1:3" x14ac:dyDescent="0.35">
      <c r="A40" s="8" t="s">
        <v>53</v>
      </c>
      <c r="B40" s="1">
        <v>310</v>
      </c>
      <c r="C40" s="11">
        <v>45930</v>
      </c>
    </row>
  </sheetData>
  <autoFilter ref="A1:C34"/>
  <conditionalFormatting sqref="C3:C33">
    <cfRule type="cellIs" dxfId="8" priority="3" operator="equal">
      <formula>"نعم"</formula>
    </cfRule>
    <cfRule type="cellIs" dxfId="7" priority="4" operator="equal">
      <formula>"لا"</formula>
    </cfRule>
  </conditionalFormatting>
  <conditionalFormatting sqref="C35:C36">
    <cfRule type="cellIs" dxfId="6" priority="1" operator="equal">
      <formula>"نعم"</formula>
    </cfRule>
    <cfRule type="cellIs" dxfId="5" priority="2" operator="equal">
      <formula>"لا"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rightToLeft="1" workbookViewId="0">
      <selection activeCell="E17" sqref="A1:XFD1048576"/>
    </sheetView>
  </sheetViews>
  <sheetFormatPr defaultRowHeight="14.5" x14ac:dyDescent="0.35"/>
  <cols>
    <col min="1" max="1" width="12.6328125" bestFit="1" customWidth="1"/>
  </cols>
  <sheetData>
    <row r="1" spans="1:2" x14ac:dyDescent="0.35">
      <c r="A1" t="s">
        <v>13</v>
      </c>
      <c r="B1">
        <v>2500</v>
      </c>
    </row>
    <row r="2" spans="1:2" x14ac:dyDescent="0.35">
      <c r="A2" t="s">
        <v>45</v>
      </c>
      <c r="B2">
        <v>3000</v>
      </c>
    </row>
    <row r="3" spans="1:2" x14ac:dyDescent="0.35">
      <c r="A3" t="s">
        <v>46</v>
      </c>
      <c r="B3">
        <v>3000</v>
      </c>
    </row>
    <row r="4" spans="1:2" x14ac:dyDescent="0.35">
      <c r="A4" t="s">
        <v>47</v>
      </c>
      <c r="B4">
        <v>2500</v>
      </c>
    </row>
    <row r="5" spans="1:2" x14ac:dyDescent="0.35">
      <c r="A5" t="s">
        <v>48</v>
      </c>
      <c r="B5">
        <v>5000</v>
      </c>
    </row>
    <row r="6" spans="1:2" x14ac:dyDescent="0.35">
      <c r="A6" t="s">
        <v>52</v>
      </c>
      <c r="B6">
        <v>2000</v>
      </c>
    </row>
    <row r="7" spans="1:2" x14ac:dyDescent="0.35">
      <c r="A7" t="s">
        <v>56</v>
      </c>
      <c r="B7">
        <v>670</v>
      </c>
    </row>
    <row r="8" spans="1:2" x14ac:dyDescent="0.35">
      <c r="A8" t="s">
        <v>50</v>
      </c>
      <c r="B8" t="e">
        <f xml:space="preserve"> SUMIF(#REF!, "كابتن خالد",#REF!)/2</f>
        <v>#REF!</v>
      </c>
    </row>
    <row r="9" spans="1:2" x14ac:dyDescent="0.35">
      <c r="A9" t="s">
        <v>49</v>
      </c>
      <c r="B9" t="e">
        <f xml:space="preserve"> SUMIF(#REF!, "كابتن ياسين",#REF!)/2</f>
        <v>#REF!</v>
      </c>
    </row>
    <row r="10" spans="1:2" x14ac:dyDescent="0.35">
      <c r="A10" t="s">
        <v>51</v>
      </c>
      <c r="B10" t="e">
        <f xml:space="preserve"> SUMIF(#REF!, "كابتن بسمة",#REF!)/2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rightToLeft="1" topLeftCell="A49" zoomScaleNormal="100" workbookViewId="0">
      <selection activeCell="C36" sqref="C36"/>
    </sheetView>
  </sheetViews>
  <sheetFormatPr defaultRowHeight="14.5" x14ac:dyDescent="0.35"/>
  <cols>
    <col min="1" max="1" width="19.1796875" bestFit="1" customWidth="1"/>
    <col min="2" max="2" width="13.08984375" style="28" bestFit="1" customWidth="1"/>
    <col min="3" max="3" width="8.81640625" style="28"/>
    <col min="4" max="4" width="13.08984375" bestFit="1" customWidth="1"/>
    <col min="8" max="8" width="11.1796875" bestFit="1" customWidth="1"/>
    <col min="9" max="9" width="8.1796875" bestFit="1" customWidth="1"/>
    <col min="10" max="10" width="13.1796875" bestFit="1" customWidth="1"/>
    <col min="11" max="11" width="6.1796875" bestFit="1" customWidth="1"/>
    <col min="12" max="12" width="12.90625" bestFit="1" customWidth="1"/>
    <col min="15" max="15" width="13.08984375" bestFit="1" customWidth="1"/>
    <col min="18" max="18" width="9.453125" bestFit="1" customWidth="1"/>
  </cols>
  <sheetData>
    <row r="1" spans="1:18" x14ac:dyDescent="0.35">
      <c r="A1" s="14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7" t="s">
        <v>5</v>
      </c>
      <c r="G1" s="17" t="s">
        <v>6</v>
      </c>
      <c r="H1" s="16" t="s">
        <v>117</v>
      </c>
      <c r="I1" s="16" t="s">
        <v>12</v>
      </c>
      <c r="J1" s="18" t="s">
        <v>7</v>
      </c>
      <c r="K1" s="17" t="s">
        <v>98</v>
      </c>
      <c r="L1" s="19" t="s">
        <v>96</v>
      </c>
      <c r="O1" s="23" t="s">
        <v>101</v>
      </c>
      <c r="P1" s="20" t="s">
        <v>46</v>
      </c>
      <c r="Q1" s="20" t="s">
        <v>17</v>
      </c>
      <c r="R1" s="20" t="s">
        <v>114</v>
      </c>
    </row>
    <row r="2" spans="1:18" x14ac:dyDescent="0.35">
      <c r="A2" s="22" t="s">
        <v>121</v>
      </c>
      <c r="C2" s="28" t="s">
        <v>127</v>
      </c>
      <c r="D2" t="s">
        <v>99</v>
      </c>
      <c r="E2">
        <v>1500</v>
      </c>
      <c r="F2">
        <v>1500</v>
      </c>
      <c r="G2" s="25">
        <f>E2-F2</f>
        <v>0</v>
      </c>
      <c r="H2" t="s">
        <v>114</v>
      </c>
      <c r="J2" s="31" t="s">
        <v>131</v>
      </c>
      <c r="K2" s="23" t="s">
        <v>17</v>
      </c>
      <c r="O2" s="20" t="s">
        <v>99</v>
      </c>
      <c r="P2" s="23" t="s">
        <v>13</v>
      </c>
      <c r="Q2" s="23" t="s">
        <v>14</v>
      </c>
      <c r="R2" s="20" t="s">
        <v>115</v>
      </c>
    </row>
    <row r="3" spans="1:18" x14ac:dyDescent="0.35">
      <c r="A3" s="22" t="s">
        <v>118</v>
      </c>
      <c r="B3" s="28" t="s">
        <v>119</v>
      </c>
      <c r="C3" s="28" t="s">
        <v>128</v>
      </c>
      <c r="D3" t="s">
        <v>8</v>
      </c>
      <c r="E3">
        <v>600</v>
      </c>
      <c r="F3">
        <v>600</v>
      </c>
      <c r="G3" s="25">
        <f>E3-F3</f>
        <v>0</v>
      </c>
      <c r="H3" t="s">
        <v>114</v>
      </c>
      <c r="J3" s="31" t="s">
        <v>131</v>
      </c>
      <c r="K3" s="23" t="s">
        <v>17</v>
      </c>
      <c r="O3" s="23" t="s">
        <v>15</v>
      </c>
      <c r="P3" s="24" t="s">
        <v>45</v>
      </c>
      <c r="R3" s="20" t="s">
        <v>116</v>
      </c>
    </row>
    <row r="4" spans="1:18" x14ac:dyDescent="0.35">
      <c r="A4" s="22" t="s">
        <v>122</v>
      </c>
      <c r="C4" s="28" t="s">
        <v>120</v>
      </c>
      <c r="D4" t="s">
        <v>74</v>
      </c>
      <c r="E4">
        <v>100</v>
      </c>
      <c r="F4">
        <v>100</v>
      </c>
      <c r="G4" s="25">
        <f>E4-F4</f>
        <v>0</v>
      </c>
      <c r="H4" s="5" t="s">
        <v>114</v>
      </c>
      <c r="J4" s="31" t="s">
        <v>132</v>
      </c>
      <c r="K4" s="29" t="s">
        <v>17</v>
      </c>
      <c r="O4" s="23" t="s">
        <v>104</v>
      </c>
      <c r="P4" t="s">
        <v>269</v>
      </c>
    </row>
    <row r="5" spans="1:18" x14ac:dyDescent="0.35">
      <c r="A5" s="22" t="s">
        <v>123</v>
      </c>
      <c r="B5" s="28" t="s">
        <v>125</v>
      </c>
      <c r="C5" s="28" t="s">
        <v>129</v>
      </c>
      <c r="D5" t="s">
        <v>101</v>
      </c>
      <c r="E5">
        <v>1600</v>
      </c>
      <c r="F5">
        <v>500</v>
      </c>
      <c r="G5" s="25">
        <f>E5-F5</f>
        <v>1100</v>
      </c>
      <c r="H5" s="33" t="s">
        <v>116</v>
      </c>
      <c r="J5" s="31" t="s">
        <v>133</v>
      </c>
      <c r="K5" s="29" t="s">
        <v>14</v>
      </c>
      <c r="O5" s="23" t="s">
        <v>103</v>
      </c>
    </row>
    <row r="6" spans="1:18" x14ac:dyDescent="0.35">
      <c r="A6" s="22" t="s">
        <v>124</v>
      </c>
      <c r="B6" s="28" t="s">
        <v>126</v>
      </c>
      <c r="C6" s="28" t="s">
        <v>130</v>
      </c>
      <c r="D6" t="s">
        <v>101</v>
      </c>
      <c r="E6">
        <v>1600</v>
      </c>
      <c r="F6">
        <v>500</v>
      </c>
      <c r="G6" s="25">
        <f t="shared" ref="G6:G62" si="0">E6-F6</f>
        <v>1100</v>
      </c>
      <c r="H6" s="5" t="s">
        <v>114</v>
      </c>
      <c r="J6" s="31" t="s">
        <v>133</v>
      </c>
      <c r="K6" s="29" t="s">
        <v>14</v>
      </c>
      <c r="O6" s="20" t="s">
        <v>107</v>
      </c>
    </row>
    <row r="7" spans="1:18" x14ac:dyDescent="0.35">
      <c r="A7" s="22" t="s">
        <v>135</v>
      </c>
      <c r="C7" s="28" t="s">
        <v>137</v>
      </c>
      <c r="D7" t="s">
        <v>8</v>
      </c>
      <c r="E7">
        <v>600</v>
      </c>
      <c r="F7">
        <v>600</v>
      </c>
      <c r="G7" s="32">
        <f t="shared" si="0"/>
        <v>0</v>
      </c>
      <c r="H7" t="s">
        <v>114</v>
      </c>
      <c r="J7" s="31" t="s">
        <v>139</v>
      </c>
      <c r="K7" s="29" t="s">
        <v>17</v>
      </c>
      <c r="O7" s="20" t="s">
        <v>16</v>
      </c>
    </row>
    <row r="8" spans="1:18" x14ac:dyDescent="0.35">
      <c r="A8" s="22" t="s">
        <v>136</v>
      </c>
      <c r="C8" s="28" t="s">
        <v>138</v>
      </c>
      <c r="D8" t="s">
        <v>8</v>
      </c>
      <c r="E8">
        <v>500</v>
      </c>
      <c r="F8">
        <v>500</v>
      </c>
      <c r="G8" s="32">
        <f t="shared" si="0"/>
        <v>0</v>
      </c>
      <c r="H8" t="s">
        <v>114</v>
      </c>
      <c r="J8" s="31" t="s">
        <v>139</v>
      </c>
      <c r="K8" s="29" t="s">
        <v>17</v>
      </c>
      <c r="O8" s="23" t="s">
        <v>74</v>
      </c>
    </row>
    <row r="9" spans="1:18" x14ac:dyDescent="0.35">
      <c r="A9" s="22" t="s">
        <v>140</v>
      </c>
      <c r="B9" s="28" t="s">
        <v>148</v>
      </c>
      <c r="C9" s="28" t="s">
        <v>154</v>
      </c>
      <c r="D9" t="s">
        <v>15</v>
      </c>
      <c r="E9">
        <v>1000</v>
      </c>
      <c r="F9">
        <v>1000</v>
      </c>
      <c r="G9" s="32">
        <f t="shared" si="0"/>
        <v>0</v>
      </c>
      <c r="H9" t="s">
        <v>114</v>
      </c>
      <c r="I9" t="s">
        <v>45</v>
      </c>
      <c r="J9" s="31" t="s">
        <v>163</v>
      </c>
      <c r="K9" s="29" t="s">
        <v>17</v>
      </c>
      <c r="O9" s="23" t="s">
        <v>102</v>
      </c>
    </row>
    <row r="10" spans="1:18" x14ac:dyDescent="0.35">
      <c r="A10" s="22" t="s">
        <v>141</v>
      </c>
      <c r="B10" s="28" t="s">
        <v>149</v>
      </c>
      <c r="C10" s="28" t="s">
        <v>155</v>
      </c>
      <c r="D10" t="s">
        <v>8</v>
      </c>
      <c r="E10">
        <v>600</v>
      </c>
      <c r="F10">
        <v>600</v>
      </c>
      <c r="G10" s="32">
        <f t="shared" si="0"/>
        <v>0</v>
      </c>
      <c r="H10" t="s">
        <v>115</v>
      </c>
      <c r="J10" s="31" t="s">
        <v>164</v>
      </c>
      <c r="K10" s="29" t="s">
        <v>17</v>
      </c>
      <c r="O10" s="20" t="s">
        <v>8</v>
      </c>
    </row>
    <row r="11" spans="1:18" x14ac:dyDescent="0.35">
      <c r="A11" s="22" t="s">
        <v>141</v>
      </c>
      <c r="B11" s="28" t="s">
        <v>149</v>
      </c>
      <c r="C11" s="28" t="s">
        <v>155</v>
      </c>
      <c r="D11" t="s">
        <v>15</v>
      </c>
      <c r="E11">
        <v>1000</v>
      </c>
      <c r="F11">
        <v>1000</v>
      </c>
      <c r="G11" s="32">
        <f t="shared" si="0"/>
        <v>0</v>
      </c>
      <c r="H11" t="s">
        <v>115</v>
      </c>
      <c r="I11" t="s">
        <v>45</v>
      </c>
      <c r="J11" s="31" t="s">
        <v>164</v>
      </c>
      <c r="K11" s="29" t="s">
        <v>17</v>
      </c>
      <c r="O11" s="24" t="s">
        <v>162</v>
      </c>
    </row>
    <row r="12" spans="1:18" x14ac:dyDescent="0.35">
      <c r="A12" s="22" t="s">
        <v>142</v>
      </c>
      <c r="B12" s="28" t="s">
        <v>150</v>
      </c>
      <c r="C12" s="28" t="s">
        <v>156</v>
      </c>
      <c r="D12" t="s">
        <v>8</v>
      </c>
      <c r="E12">
        <v>600</v>
      </c>
      <c r="F12">
        <v>600</v>
      </c>
      <c r="G12" s="32">
        <f t="shared" si="0"/>
        <v>0</v>
      </c>
      <c r="H12" t="s">
        <v>115</v>
      </c>
      <c r="J12" s="31" t="s">
        <v>164</v>
      </c>
      <c r="K12" s="29" t="s">
        <v>17</v>
      </c>
      <c r="O12" s="20" t="s">
        <v>261</v>
      </c>
    </row>
    <row r="13" spans="1:18" x14ac:dyDescent="0.35">
      <c r="A13" s="22" t="s">
        <v>142</v>
      </c>
      <c r="B13" s="28" t="s">
        <v>150</v>
      </c>
      <c r="C13" s="28" t="s">
        <v>156</v>
      </c>
      <c r="D13" t="s">
        <v>15</v>
      </c>
      <c r="E13">
        <v>1000</v>
      </c>
      <c r="F13">
        <v>1000</v>
      </c>
      <c r="G13" s="32">
        <f t="shared" si="0"/>
        <v>0</v>
      </c>
      <c r="H13" t="s">
        <v>115</v>
      </c>
      <c r="I13" t="s">
        <v>45</v>
      </c>
      <c r="J13" s="31" t="s">
        <v>164</v>
      </c>
      <c r="K13" s="29" t="s">
        <v>17</v>
      </c>
    </row>
    <row r="14" spans="1:18" x14ac:dyDescent="0.35">
      <c r="A14" s="22" t="s">
        <v>143</v>
      </c>
      <c r="B14" s="28" t="s">
        <v>151</v>
      </c>
      <c r="C14" s="28" t="s">
        <v>157</v>
      </c>
      <c r="D14" t="s">
        <v>99</v>
      </c>
      <c r="E14">
        <v>200</v>
      </c>
      <c r="F14">
        <v>200</v>
      </c>
      <c r="G14" s="32">
        <f t="shared" si="0"/>
        <v>0</v>
      </c>
      <c r="H14" t="s">
        <v>114</v>
      </c>
      <c r="J14" s="31" t="s">
        <v>164</v>
      </c>
      <c r="K14" s="29" t="s">
        <v>17</v>
      </c>
    </row>
    <row r="15" spans="1:18" x14ac:dyDescent="0.35">
      <c r="A15" s="22" t="s">
        <v>144</v>
      </c>
      <c r="C15" s="28" t="s">
        <v>158</v>
      </c>
      <c r="D15" t="s">
        <v>99</v>
      </c>
      <c r="E15">
        <v>300</v>
      </c>
      <c r="F15">
        <v>300</v>
      </c>
      <c r="G15" s="32">
        <f t="shared" si="0"/>
        <v>0</v>
      </c>
      <c r="H15" t="s">
        <v>114</v>
      </c>
      <c r="J15" s="31" t="s">
        <v>165</v>
      </c>
      <c r="K15" s="29" t="s">
        <v>14</v>
      </c>
    </row>
    <row r="16" spans="1:18" x14ac:dyDescent="0.35">
      <c r="A16" s="22" t="s">
        <v>145</v>
      </c>
      <c r="B16" s="28" t="s">
        <v>152</v>
      </c>
      <c r="C16" s="28" t="s">
        <v>159</v>
      </c>
      <c r="D16" t="s">
        <v>162</v>
      </c>
      <c r="E16">
        <v>2600</v>
      </c>
      <c r="F16">
        <v>2600</v>
      </c>
      <c r="G16" s="32">
        <f t="shared" si="0"/>
        <v>0</v>
      </c>
      <c r="H16" t="s">
        <v>115</v>
      </c>
      <c r="J16" s="31" t="s">
        <v>165</v>
      </c>
      <c r="K16" s="29" t="s">
        <v>17</v>
      </c>
    </row>
    <row r="17" spans="1:11" x14ac:dyDescent="0.35">
      <c r="A17" s="22" t="s">
        <v>146</v>
      </c>
      <c r="B17" s="28" t="s">
        <v>153</v>
      </c>
      <c r="C17" s="28" t="s">
        <v>160</v>
      </c>
      <c r="D17" t="s">
        <v>101</v>
      </c>
      <c r="E17">
        <v>1400</v>
      </c>
      <c r="F17">
        <v>1400</v>
      </c>
      <c r="G17" s="32">
        <f t="shared" si="0"/>
        <v>0</v>
      </c>
      <c r="H17" t="s">
        <v>114</v>
      </c>
      <c r="J17" s="31" t="s">
        <v>165</v>
      </c>
      <c r="K17" s="29" t="s">
        <v>17</v>
      </c>
    </row>
    <row r="18" spans="1:11" x14ac:dyDescent="0.35">
      <c r="A18" s="22" t="s">
        <v>147</v>
      </c>
      <c r="C18" s="28" t="s">
        <v>161</v>
      </c>
      <c r="D18" t="s">
        <v>8</v>
      </c>
      <c r="E18">
        <v>500</v>
      </c>
      <c r="F18">
        <v>500</v>
      </c>
      <c r="G18" s="32">
        <f t="shared" si="0"/>
        <v>0</v>
      </c>
      <c r="H18" t="s">
        <v>114</v>
      </c>
      <c r="J18" s="31" t="s">
        <v>166</v>
      </c>
      <c r="K18" s="29" t="s">
        <v>17</v>
      </c>
    </row>
    <row r="19" spans="1:11" x14ac:dyDescent="0.35">
      <c r="A19" s="22" t="s">
        <v>169</v>
      </c>
      <c r="C19" s="28" t="s">
        <v>186</v>
      </c>
      <c r="D19" t="s">
        <v>104</v>
      </c>
      <c r="E19">
        <v>1200</v>
      </c>
      <c r="F19">
        <v>1200</v>
      </c>
      <c r="G19" s="32">
        <f t="shared" si="0"/>
        <v>0</v>
      </c>
      <c r="H19" t="s">
        <v>114</v>
      </c>
      <c r="I19" t="s">
        <v>46</v>
      </c>
      <c r="J19" s="31" t="s">
        <v>166</v>
      </c>
      <c r="K19" s="29" t="s">
        <v>14</v>
      </c>
    </row>
    <row r="20" spans="1:11" x14ac:dyDescent="0.35">
      <c r="A20" s="22" t="s">
        <v>170</v>
      </c>
      <c r="C20" s="28" t="s">
        <v>187</v>
      </c>
      <c r="D20" t="s">
        <v>8</v>
      </c>
      <c r="E20">
        <v>500</v>
      </c>
      <c r="F20">
        <v>500</v>
      </c>
      <c r="G20" s="32">
        <f t="shared" si="0"/>
        <v>0</v>
      </c>
      <c r="H20" t="s">
        <v>114</v>
      </c>
      <c r="J20" s="31" t="s">
        <v>196</v>
      </c>
      <c r="K20" s="29" t="s">
        <v>17</v>
      </c>
    </row>
    <row r="21" spans="1:11" x14ac:dyDescent="0.35">
      <c r="A21" s="22" t="s">
        <v>171</v>
      </c>
      <c r="B21" s="28" t="s">
        <v>179</v>
      </c>
      <c r="C21" s="28" t="s">
        <v>188</v>
      </c>
      <c r="D21" t="s">
        <v>162</v>
      </c>
      <c r="E21">
        <v>2200</v>
      </c>
      <c r="F21">
        <v>2200</v>
      </c>
      <c r="G21" s="32">
        <f t="shared" si="0"/>
        <v>0</v>
      </c>
      <c r="H21" t="s">
        <v>115</v>
      </c>
      <c r="J21" s="31" t="s">
        <v>197</v>
      </c>
      <c r="K21" s="29" t="s">
        <v>17</v>
      </c>
    </row>
    <row r="22" spans="1:11" x14ac:dyDescent="0.35">
      <c r="A22" s="22" t="s">
        <v>172</v>
      </c>
      <c r="C22" s="28" t="s">
        <v>189</v>
      </c>
      <c r="D22" t="s">
        <v>101</v>
      </c>
      <c r="E22">
        <v>1400</v>
      </c>
      <c r="F22">
        <v>1400</v>
      </c>
      <c r="G22" s="32">
        <f t="shared" si="0"/>
        <v>0</v>
      </c>
      <c r="H22" t="s">
        <v>116</v>
      </c>
      <c r="J22" s="31" t="s">
        <v>197</v>
      </c>
      <c r="K22" s="29" t="s">
        <v>17</v>
      </c>
    </row>
    <row r="23" spans="1:11" x14ac:dyDescent="0.35">
      <c r="A23" s="22" t="s">
        <v>173</v>
      </c>
      <c r="B23" s="28" t="s">
        <v>180</v>
      </c>
      <c r="C23" s="28" t="s">
        <v>190</v>
      </c>
      <c r="D23" t="s">
        <v>8</v>
      </c>
      <c r="E23">
        <v>600</v>
      </c>
      <c r="F23">
        <v>600</v>
      </c>
      <c r="G23" s="32">
        <f t="shared" si="0"/>
        <v>0</v>
      </c>
      <c r="H23" t="s">
        <v>114</v>
      </c>
      <c r="J23" s="31" t="s">
        <v>197</v>
      </c>
      <c r="K23" s="29" t="s">
        <v>17</v>
      </c>
    </row>
    <row r="24" spans="1:11" x14ac:dyDescent="0.35">
      <c r="A24" s="22" t="s">
        <v>174</v>
      </c>
      <c r="B24" s="28" t="s">
        <v>181</v>
      </c>
      <c r="C24" s="28" t="s">
        <v>191</v>
      </c>
      <c r="D24" t="s">
        <v>8</v>
      </c>
      <c r="E24">
        <v>600</v>
      </c>
      <c r="F24">
        <v>600</v>
      </c>
      <c r="G24" s="32">
        <f t="shared" si="0"/>
        <v>0</v>
      </c>
      <c r="H24" t="s">
        <v>114</v>
      </c>
      <c r="J24" s="31" t="s">
        <v>197</v>
      </c>
      <c r="K24" s="29" t="s">
        <v>17</v>
      </c>
    </row>
    <row r="25" spans="1:11" x14ac:dyDescent="0.35">
      <c r="A25" s="22" t="s">
        <v>175</v>
      </c>
      <c r="B25" s="28" t="s">
        <v>182</v>
      </c>
      <c r="C25" s="28" t="s">
        <v>192</v>
      </c>
      <c r="D25" t="s">
        <v>8</v>
      </c>
      <c r="E25">
        <v>650</v>
      </c>
      <c r="F25">
        <v>650</v>
      </c>
      <c r="G25" s="32">
        <f t="shared" si="0"/>
        <v>0</v>
      </c>
      <c r="H25" t="s">
        <v>114</v>
      </c>
      <c r="J25" s="31" t="s">
        <v>197</v>
      </c>
      <c r="K25" s="29" t="s">
        <v>17</v>
      </c>
    </row>
    <row r="26" spans="1:11" x14ac:dyDescent="0.35">
      <c r="A26" s="22" t="s">
        <v>176</v>
      </c>
      <c r="B26" s="28" t="s">
        <v>183</v>
      </c>
      <c r="C26" s="28" t="s">
        <v>193</v>
      </c>
      <c r="D26" t="s">
        <v>8</v>
      </c>
      <c r="E26">
        <v>650</v>
      </c>
      <c r="F26">
        <v>650</v>
      </c>
      <c r="G26" s="32">
        <f t="shared" si="0"/>
        <v>0</v>
      </c>
      <c r="H26" t="s">
        <v>114</v>
      </c>
      <c r="J26" s="31" t="s">
        <v>197</v>
      </c>
      <c r="K26" s="29" t="s">
        <v>17</v>
      </c>
    </row>
    <row r="27" spans="1:11" x14ac:dyDescent="0.35">
      <c r="A27" s="22" t="s">
        <v>177</v>
      </c>
      <c r="B27" s="28" t="s">
        <v>184</v>
      </c>
      <c r="C27" s="28" t="s">
        <v>194</v>
      </c>
      <c r="D27" t="s">
        <v>8</v>
      </c>
      <c r="E27">
        <v>600</v>
      </c>
      <c r="F27">
        <v>600</v>
      </c>
      <c r="G27" s="32">
        <f t="shared" si="0"/>
        <v>0</v>
      </c>
      <c r="H27" t="s">
        <v>114</v>
      </c>
      <c r="J27" s="31" t="s">
        <v>197</v>
      </c>
      <c r="K27" s="29" t="s">
        <v>17</v>
      </c>
    </row>
    <row r="28" spans="1:11" ht="12" customHeight="1" x14ac:dyDescent="0.35">
      <c r="A28" s="22" t="s">
        <v>178</v>
      </c>
      <c r="B28" s="28" t="s">
        <v>185</v>
      </c>
      <c r="C28" s="28" t="s">
        <v>195</v>
      </c>
      <c r="D28" t="s">
        <v>8</v>
      </c>
      <c r="E28">
        <v>500</v>
      </c>
      <c r="F28">
        <v>500</v>
      </c>
      <c r="G28" s="32">
        <f t="shared" si="0"/>
        <v>0</v>
      </c>
      <c r="H28" t="s">
        <v>114</v>
      </c>
      <c r="J28" s="31" t="s">
        <v>198</v>
      </c>
      <c r="K28" s="29" t="s">
        <v>17</v>
      </c>
    </row>
    <row r="29" spans="1:11" x14ac:dyDescent="0.35">
      <c r="A29" s="22" t="s">
        <v>201</v>
      </c>
      <c r="B29" s="28" t="s">
        <v>202</v>
      </c>
      <c r="C29" s="28" t="s">
        <v>203</v>
      </c>
      <c r="D29" t="s">
        <v>8</v>
      </c>
      <c r="E29">
        <v>500</v>
      </c>
      <c r="F29">
        <v>500</v>
      </c>
      <c r="G29" s="32">
        <f t="shared" si="0"/>
        <v>0</v>
      </c>
      <c r="H29" t="s">
        <v>114</v>
      </c>
      <c r="J29" s="35" t="s">
        <v>204</v>
      </c>
      <c r="K29" s="29" t="s">
        <v>17</v>
      </c>
    </row>
    <row r="30" spans="1:11" x14ac:dyDescent="0.35">
      <c r="A30" s="22" t="s">
        <v>205</v>
      </c>
      <c r="B30" s="28" t="s">
        <v>213</v>
      </c>
      <c r="C30" s="28" t="s">
        <v>218</v>
      </c>
      <c r="D30" t="s">
        <v>8</v>
      </c>
      <c r="E30">
        <v>500</v>
      </c>
      <c r="F30">
        <v>500</v>
      </c>
      <c r="G30" s="32">
        <f t="shared" si="0"/>
        <v>0</v>
      </c>
      <c r="H30" t="s">
        <v>115</v>
      </c>
      <c r="J30" s="35" t="s">
        <v>204</v>
      </c>
      <c r="K30" s="29" t="s">
        <v>17</v>
      </c>
    </row>
    <row r="31" spans="1:11" x14ac:dyDescent="0.35">
      <c r="A31" s="22" t="s">
        <v>206</v>
      </c>
      <c r="B31" s="28" t="s">
        <v>214</v>
      </c>
      <c r="C31" s="28" t="s">
        <v>219</v>
      </c>
      <c r="D31" t="s">
        <v>8</v>
      </c>
      <c r="E31">
        <v>500</v>
      </c>
      <c r="F31">
        <v>500</v>
      </c>
      <c r="G31" s="32">
        <f t="shared" si="0"/>
        <v>0</v>
      </c>
      <c r="H31" t="s">
        <v>114</v>
      </c>
      <c r="J31" s="35" t="s">
        <v>204</v>
      </c>
      <c r="K31" s="29" t="s">
        <v>17</v>
      </c>
    </row>
    <row r="32" spans="1:11" x14ac:dyDescent="0.35">
      <c r="A32" s="22" t="s">
        <v>207</v>
      </c>
      <c r="B32" s="28" t="s">
        <v>215</v>
      </c>
      <c r="C32" s="28" t="s">
        <v>220</v>
      </c>
      <c r="D32" t="s">
        <v>8</v>
      </c>
      <c r="E32">
        <v>500</v>
      </c>
      <c r="F32">
        <v>500</v>
      </c>
      <c r="G32" s="32">
        <f t="shared" si="0"/>
        <v>0</v>
      </c>
      <c r="H32" t="s">
        <v>114</v>
      </c>
      <c r="J32" s="35" t="s">
        <v>204</v>
      </c>
      <c r="K32" s="29" t="s">
        <v>17</v>
      </c>
    </row>
    <row r="33" spans="1:13" x14ac:dyDescent="0.35">
      <c r="A33" s="22" t="s">
        <v>208</v>
      </c>
      <c r="B33" s="28" t="s">
        <v>216</v>
      </c>
      <c r="C33" s="28" t="s">
        <v>221</v>
      </c>
      <c r="D33" t="s">
        <v>8</v>
      </c>
      <c r="E33">
        <v>500</v>
      </c>
      <c r="F33">
        <v>500</v>
      </c>
      <c r="G33" s="32">
        <f t="shared" si="0"/>
        <v>0</v>
      </c>
      <c r="H33" t="s">
        <v>114</v>
      </c>
      <c r="J33" s="35" t="s">
        <v>226</v>
      </c>
      <c r="K33" s="29" t="s">
        <v>17</v>
      </c>
    </row>
    <row r="34" spans="1:13" x14ac:dyDescent="0.35">
      <c r="A34" s="22" t="s">
        <v>209</v>
      </c>
      <c r="B34" s="28" t="s">
        <v>217</v>
      </c>
      <c r="C34" s="28" t="s">
        <v>222</v>
      </c>
      <c r="D34" t="s">
        <v>8</v>
      </c>
      <c r="E34">
        <v>500</v>
      </c>
      <c r="F34">
        <v>500</v>
      </c>
      <c r="G34" s="32">
        <f t="shared" si="0"/>
        <v>0</v>
      </c>
      <c r="H34" t="s">
        <v>114</v>
      </c>
      <c r="J34" s="35" t="s">
        <v>226</v>
      </c>
      <c r="K34" s="29" t="s">
        <v>17</v>
      </c>
    </row>
    <row r="35" spans="1:13" x14ac:dyDescent="0.35">
      <c r="A35" s="22" t="s">
        <v>210</v>
      </c>
      <c r="C35" s="28" t="s">
        <v>223</v>
      </c>
      <c r="D35" t="s">
        <v>99</v>
      </c>
      <c r="E35">
        <v>-1000</v>
      </c>
      <c r="F35">
        <v>-1000</v>
      </c>
      <c r="G35" s="32">
        <f t="shared" si="0"/>
        <v>0</v>
      </c>
      <c r="H35" t="s">
        <v>115</v>
      </c>
      <c r="J35" s="35" t="s">
        <v>226</v>
      </c>
      <c r="K35" s="29" t="s">
        <v>17</v>
      </c>
    </row>
    <row r="36" spans="1:13" s="8" customFormat="1" x14ac:dyDescent="0.35">
      <c r="A36" s="22" t="s">
        <v>211</v>
      </c>
      <c r="B36" s="28"/>
      <c r="C36" s="28" t="s">
        <v>224</v>
      </c>
      <c r="D36" t="s">
        <v>99</v>
      </c>
      <c r="E36">
        <v>1500</v>
      </c>
      <c r="F36">
        <v>1500</v>
      </c>
      <c r="G36" s="32">
        <f t="shared" si="0"/>
        <v>0</v>
      </c>
      <c r="H36" t="s">
        <v>115</v>
      </c>
      <c r="I36"/>
      <c r="J36" s="35" t="s">
        <v>226</v>
      </c>
      <c r="K36" s="29" t="s">
        <v>14</v>
      </c>
      <c r="L36"/>
      <c r="M36"/>
    </row>
    <row r="37" spans="1:13" x14ac:dyDescent="0.35">
      <c r="A37" s="22" t="s">
        <v>212</v>
      </c>
      <c r="C37" s="28" t="s">
        <v>225</v>
      </c>
      <c r="D37" t="s">
        <v>99</v>
      </c>
      <c r="E37">
        <v>1500</v>
      </c>
      <c r="F37">
        <v>1500</v>
      </c>
      <c r="G37" s="32">
        <f t="shared" si="0"/>
        <v>0</v>
      </c>
      <c r="H37" t="s">
        <v>115</v>
      </c>
      <c r="J37" s="35" t="s">
        <v>226</v>
      </c>
      <c r="K37" s="29" t="s">
        <v>17</v>
      </c>
    </row>
    <row r="38" spans="1:13" x14ac:dyDescent="0.35">
      <c r="A38" s="22" t="s">
        <v>228</v>
      </c>
      <c r="C38" s="28" t="s">
        <v>246</v>
      </c>
      <c r="D38" t="s">
        <v>8</v>
      </c>
      <c r="E38">
        <v>500</v>
      </c>
      <c r="F38">
        <v>500</v>
      </c>
      <c r="G38" s="32">
        <f t="shared" si="0"/>
        <v>0</v>
      </c>
      <c r="H38" t="s">
        <v>114</v>
      </c>
      <c r="J38" s="35" t="s">
        <v>226</v>
      </c>
      <c r="K38" s="29" t="s">
        <v>17</v>
      </c>
    </row>
    <row r="39" spans="1:13" x14ac:dyDescent="0.35">
      <c r="A39" s="22" t="s">
        <v>229</v>
      </c>
      <c r="C39" s="28" t="s">
        <v>247</v>
      </c>
      <c r="D39" t="s">
        <v>102</v>
      </c>
      <c r="E39">
        <v>2800</v>
      </c>
      <c r="F39">
        <v>2800</v>
      </c>
      <c r="G39" s="32">
        <f t="shared" si="0"/>
        <v>0</v>
      </c>
      <c r="H39" t="s">
        <v>114</v>
      </c>
      <c r="J39" s="35" t="s">
        <v>264</v>
      </c>
      <c r="K39" s="29" t="s">
        <v>17</v>
      </c>
    </row>
    <row r="40" spans="1:13" x14ac:dyDescent="0.35">
      <c r="A40" s="22" t="s">
        <v>230</v>
      </c>
      <c r="C40" s="28" t="s">
        <v>248</v>
      </c>
      <c r="D40" t="s">
        <v>8</v>
      </c>
      <c r="E40">
        <v>500</v>
      </c>
      <c r="F40">
        <v>500</v>
      </c>
      <c r="G40" s="32">
        <f t="shared" si="0"/>
        <v>0</v>
      </c>
      <c r="H40" t="s">
        <v>114</v>
      </c>
      <c r="J40" s="35" t="s">
        <v>264</v>
      </c>
      <c r="K40" s="29" t="s">
        <v>17</v>
      </c>
    </row>
    <row r="41" spans="1:13" x14ac:dyDescent="0.35">
      <c r="A41" s="22" t="s">
        <v>231</v>
      </c>
      <c r="C41" s="28" t="s">
        <v>249</v>
      </c>
      <c r="D41" t="s">
        <v>8</v>
      </c>
      <c r="E41">
        <v>500</v>
      </c>
      <c r="F41">
        <v>500</v>
      </c>
      <c r="G41" s="32">
        <f t="shared" si="0"/>
        <v>0</v>
      </c>
      <c r="H41" t="s">
        <v>114</v>
      </c>
      <c r="J41" s="35" t="s">
        <v>265</v>
      </c>
      <c r="K41" s="29" t="s">
        <v>14</v>
      </c>
    </row>
    <row r="42" spans="1:13" x14ac:dyDescent="0.35">
      <c r="A42" s="22" t="s">
        <v>232</v>
      </c>
      <c r="C42" s="28" t="s">
        <v>250</v>
      </c>
      <c r="D42" t="s">
        <v>8</v>
      </c>
      <c r="E42">
        <v>500</v>
      </c>
      <c r="F42">
        <v>500</v>
      </c>
      <c r="G42" s="32">
        <f t="shared" si="0"/>
        <v>0</v>
      </c>
      <c r="H42" t="s">
        <v>114</v>
      </c>
      <c r="J42" s="35" t="s">
        <v>265</v>
      </c>
      <c r="K42" s="29" t="s">
        <v>17</v>
      </c>
    </row>
    <row r="43" spans="1:13" x14ac:dyDescent="0.35">
      <c r="A43" s="22" t="s">
        <v>233</v>
      </c>
      <c r="C43" s="28" t="s">
        <v>251</v>
      </c>
      <c r="D43" t="s">
        <v>8</v>
      </c>
      <c r="E43">
        <v>500</v>
      </c>
      <c r="F43">
        <v>500</v>
      </c>
      <c r="G43" s="32">
        <f t="shared" si="0"/>
        <v>0</v>
      </c>
      <c r="H43" t="s">
        <v>114</v>
      </c>
      <c r="J43" s="35" t="s">
        <v>265</v>
      </c>
      <c r="K43" s="29" t="s">
        <v>17</v>
      </c>
    </row>
    <row r="44" spans="1:13" x14ac:dyDescent="0.35">
      <c r="A44" s="22" t="s">
        <v>234</v>
      </c>
      <c r="C44" s="28" t="s">
        <v>252</v>
      </c>
      <c r="D44" t="s">
        <v>8</v>
      </c>
      <c r="E44">
        <v>500</v>
      </c>
      <c r="F44">
        <v>500</v>
      </c>
      <c r="G44" s="32">
        <f t="shared" si="0"/>
        <v>0</v>
      </c>
      <c r="H44" t="s">
        <v>114</v>
      </c>
      <c r="J44" s="35" t="s">
        <v>266</v>
      </c>
      <c r="K44" s="29" t="s">
        <v>17</v>
      </c>
    </row>
    <row r="45" spans="1:13" x14ac:dyDescent="0.35">
      <c r="A45" s="22" t="s">
        <v>235</v>
      </c>
      <c r="C45" s="28" t="s">
        <v>253</v>
      </c>
      <c r="D45" t="s">
        <v>8</v>
      </c>
      <c r="E45">
        <v>500</v>
      </c>
      <c r="F45">
        <v>500</v>
      </c>
      <c r="G45" s="32">
        <f t="shared" si="0"/>
        <v>0</v>
      </c>
      <c r="H45" t="s">
        <v>115</v>
      </c>
      <c r="J45" s="35" t="s">
        <v>266</v>
      </c>
      <c r="K45" s="29" t="s">
        <v>17</v>
      </c>
    </row>
    <row r="46" spans="1:13" x14ac:dyDescent="0.35">
      <c r="A46" s="22" t="s">
        <v>236</v>
      </c>
      <c r="C46" s="28" t="s">
        <v>254</v>
      </c>
      <c r="D46" t="s">
        <v>8</v>
      </c>
      <c r="E46">
        <v>500</v>
      </c>
      <c r="F46">
        <v>500</v>
      </c>
      <c r="G46" s="32">
        <f t="shared" si="0"/>
        <v>0</v>
      </c>
      <c r="H46" t="s">
        <v>114</v>
      </c>
      <c r="J46" s="35" t="s">
        <v>267</v>
      </c>
      <c r="K46" s="29" t="s">
        <v>17</v>
      </c>
    </row>
    <row r="47" spans="1:13" x14ac:dyDescent="0.35">
      <c r="A47" s="22" t="s">
        <v>143</v>
      </c>
      <c r="C47" s="28" t="s">
        <v>157</v>
      </c>
      <c r="D47" t="s">
        <v>8</v>
      </c>
      <c r="E47">
        <v>500</v>
      </c>
      <c r="F47">
        <v>300</v>
      </c>
      <c r="G47" s="32">
        <f t="shared" si="0"/>
        <v>200</v>
      </c>
      <c r="H47" t="s">
        <v>114</v>
      </c>
      <c r="J47" s="35" t="s">
        <v>267</v>
      </c>
      <c r="K47" s="29" t="s">
        <v>17</v>
      </c>
    </row>
    <row r="48" spans="1:13" x14ac:dyDescent="0.35">
      <c r="A48" s="22" t="s">
        <v>237</v>
      </c>
      <c r="C48" s="28" t="s">
        <v>255</v>
      </c>
      <c r="D48" t="s">
        <v>102</v>
      </c>
      <c r="E48">
        <v>3000</v>
      </c>
      <c r="F48">
        <v>3000</v>
      </c>
      <c r="G48" s="32">
        <f t="shared" si="0"/>
        <v>0</v>
      </c>
      <c r="H48" t="s">
        <v>114</v>
      </c>
      <c r="J48" s="35" t="s">
        <v>267</v>
      </c>
      <c r="K48" s="29" t="s">
        <v>17</v>
      </c>
    </row>
    <row r="49" spans="1:11" x14ac:dyDescent="0.35">
      <c r="A49" s="22" t="s">
        <v>238</v>
      </c>
      <c r="C49" s="28" t="s">
        <v>256</v>
      </c>
      <c r="D49" t="s">
        <v>101</v>
      </c>
      <c r="E49">
        <v>1300</v>
      </c>
      <c r="F49">
        <v>1300</v>
      </c>
      <c r="G49" s="32">
        <f t="shared" si="0"/>
        <v>0</v>
      </c>
      <c r="H49" t="s">
        <v>114</v>
      </c>
      <c r="J49" s="35" t="s">
        <v>267</v>
      </c>
      <c r="K49" s="29" t="s">
        <v>17</v>
      </c>
    </row>
    <row r="50" spans="1:11" x14ac:dyDescent="0.35">
      <c r="A50" s="22" t="s">
        <v>239</v>
      </c>
      <c r="C50" s="28" t="s">
        <v>257</v>
      </c>
      <c r="D50" t="s">
        <v>99</v>
      </c>
      <c r="E50">
        <v>100</v>
      </c>
      <c r="F50">
        <v>100</v>
      </c>
      <c r="G50" s="32">
        <f t="shared" si="0"/>
        <v>0</v>
      </c>
      <c r="H50" t="s">
        <v>114</v>
      </c>
      <c r="J50" s="35" t="s">
        <v>267</v>
      </c>
      <c r="K50" s="29" t="s">
        <v>17</v>
      </c>
    </row>
    <row r="51" spans="1:11" x14ac:dyDescent="0.35">
      <c r="A51" s="22" t="s">
        <v>240</v>
      </c>
      <c r="C51" s="28" t="s">
        <v>258</v>
      </c>
      <c r="D51" t="s">
        <v>8</v>
      </c>
      <c r="E51">
        <v>500</v>
      </c>
      <c r="F51">
        <v>500</v>
      </c>
      <c r="G51" s="32">
        <f t="shared" si="0"/>
        <v>0</v>
      </c>
      <c r="H51" t="s">
        <v>114</v>
      </c>
      <c r="J51" s="35" t="s">
        <v>267</v>
      </c>
      <c r="K51" s="29" t="s">
        <v>14</v>
      </c>
    </row>
    <row r="52" spans="1:11" x14ac:dyDescent="0.35">
      <c r="A52" s="22" t="s">
        <v>240</v>
      </c>
      <c r="C52" s="28" t="s">
        <v>258</v>
      </c>
      <c r="D52" t="s">
        <v>261</v>
      </c>
      <c r="E52">
        <v>1000</v>
      </c>
      <c r="F52">
        <v>1000</v>
      </c>
      <c r="G52" s="32">
        <f t="shared" si="0"/>
        <v>0</v>
      </c>
      <c r="H52" t="s">
        <v>114</v>
      </c>
      <c r="I52" t="s">
        <v>269</v>
      </c>
      <c r="J52" s="35" t="s">
        <v>268</v>
      </c>
      <c r="K52" s="29" t="s">
        <v>14</v>
      </c>
    </row>
    <row r="53" spans="1:11" x14ac:dyDescent="0.35">
      <c r="A53" s="22" t="s">
        <v>241</v>
      </c>
      <c r="C53" s="28" t="s">
        <v>259</v>
      </c>
      <c r="D53" t="s">
        <v>8</v>
      </c>
      <c r="E53">
        <v>500</v>
      </c>
      <c r="F53">
        <v>500</v>
      </c>
      <c r="G53" s="32">
        <f t="shared" si="0"/>
        <v>0</v>
      </c>
      <c r="H53" t="s">
        <v>114</v>
      </c>
      <c r="J53" s="35" t="s">
        <v>268</v>
      </c>
      <c r="K53" s="29" t="s">
        <v>14</v>
      </c>
    </row>
    <row r="54" spans="1:11" x14ac:dyDescent="0.35">
      <c r="A54" s="22" t="s">
        <v>242</v>
      </c>
      <c r="C54" s="28" t="s">
        <v>259</v>
      </c>
      <c r="D54" t="s">
        <v>261</v>
      </c>
      <c r="E54">
        <v>1000</v>
      </c>
      <c r="F54">
        <v>1000</v>
      </c>
      <c r="G54" s="32">
        <f t="shared" si="0"/>
        <v>0</v>
      </c>
      <c r="H54" t="s">
        <v>114</v>
      </c>
      <c r="I54" t="s">
        <v>269</v>
      </c>
      <c r="J54" s="35" t="s">
        <v>268</v>
      </c>
      <c r="K54" s="29" t="s">
        <v>14</v>
      </c>
    </row>
    <row r="55" spans="1:11" x14ac:dyDescent="0.35">
      <c r="A55" s="22" t="s">
        <v>243</v>
      </c>
      <c r="C55" s="28" t="s">
        <v>260</v>
      </c>
      <c r="D55" t="s">
        <v>8</v>
      </c>
      <c r="E55">
        <v>500</v>
      </c>
      <c r="F55">
        <v>500</v>
      </c>
      <c r="G55" s="32">
        <f t="shared" si="0"/>
        <v>0</v>
      </c>
      <c r="H55" t="s">
        <v>114</v>
      </c>
      <c r="J55" s="35" t="s">
        <v>268</v>
      </c>
      <c r="K55" s="29" t="s">
        <v>17</v>
      </c>
    </row>
    <row r="56" spans="1:11" x14ac:dyDescent="0.35">
      <c r="A56" s="22" t="s">
        <v>244</v>
      </c>
      <c r="C56" s="28" t="s">
        <v>120</v>
      </c>
      <c r="D56" t="s">
        <v>74</v>
      </c>
      <c r="E56">
        <v>100</v>
      </c>
      <c r="F56">
        <v>100</v>
      </c>
      <c r="G56" s="32">
        <f t="shared" si="0"/>
        <v>0</v>
      </c>
      <c r="H56" t="s">
        <v>114</v>
      </c>
      <c r="J56" s="35" t="s">
        <v>268</v>
      </c>
      <c r="K56" s="29" t="s">
        <v>17</v>
      </c>
    </row>
    <row r="57" spans="1:11" x14ac:dyDescent="0.35">
      <c r="A57" s="22" t="s">
        <v>245</v>
      </c>
      <c r="C57" s="28" t="s">
        <v>120</v>
      </c>
      <c r="D57" t="s">
        <v>74</v>
      </c>
      <c r="E57">
        <v>100</v>
      </c>
      <c r="F57">
        <v>100</v>
      </c>
      <c r="G57" s="32">
        <f t="shared" si="0"/>
        <v>0</v>
      </c>
      <c r="H57" t="s">
        <v>114</v>
      </c>
      <c r="J57" s="35" t="s">
        <v>268</v>
      </c>
      <c r="K57" s="29" t="s">
        <v>17</v>
      </c>
    </row>
    <row r="58" spans="1:11" x14ac:dyDescent="0.35">
      <c r="A58" s="22" t="s">
        <v>271</v>
      </c>
      <c r="B58" s="28" t="s">
        <v>276</v>
      </c>
      <c r="C58" s="28" t="s">
        <v>279</v>
      </c>
      <c r="D58" t="s">
        <v>101</v>
      </c>
      <c r="E58">
        <v>1300</v>
      </c>
      <c r="F58">
        <v>1300</v>
      </c>
      <c r="G58" s="32">
        <f t="shared" si="0"/>
        <v>0</v>
      </c>
      <c r="H58" t="s">
        <v>115</v>
      </c>
      <c r="J58" s="35" t="s">
        <v>284</v>
      </c>
      <c r="K58" s="29" t="s">
        <v>17</v>
      </c>
    </row>
    <row r="59" spans="1:11" x14ac:dyDescent="0.35">
      <c r="A59" s="22" t="s">
        <v>272</v>
      </c>
      <c r="B59" s="28" t="s">
        <v>277</v>
      </c>
      <c r="C59" s="28" t="s">
        <v>280</v>
      </c>
      <c r="D59" t="s">
        <v>8</v>
      </c>
      <c r="E59">
        <v>500</v>
      </c>
      <c r="F59">
        <v>500</v>
      </c>
      <c r="G59" s="32">
        <f t="shared" si="0"/>
        <v>0</v>
      </c>
      <c r="H59" t="s">
        <v>115</v>
      </c>
      <c r="J59" s="35" t="s">
        <v>284</v>
      </c>
      <c r="K59" s="29" t="s">
        <v>17</v>
      </c>
    </row>
    <row r="60" spans="1:11" x14ac:dyDescent="0.35">
      <c r="A60" s="22" t="s">
        <v>273</v>
      </c>
      <c r="B60" s="28" t="s">
        <v>278</v>
      </c>
      <c r="C60" s="28" t="s">
        <v>281</v>
      </c>
      <c r="D60" t="s">
        <v>8</v>
      </c>
      <c r="E60">
        <v>500</v>
      </c>
      <c r="F60">
        <v>500</v>
      </c>
      <c r="G60" s="32">
        <f t="shared" si="0"/>
        <v>0</v>
      </c>
      <c r="H60" t="s">
        <v>114</v>
      </c>
      <c r="J60" s="35" t="s">
        <v>284</v>
      </c>
      <c r="K60" s="29" t="s">
        <v>17</v>
      </c>
    </row>
    <row r="61" spans="1:11" x14ac:dyDescent="0.35">
      <c r="A61" s="22" t="s">
        <v>274</v>
      </c>
      <c r="C61" s="28" t="s">
        <v>282</v>
      </c>
      <c r="D61" t="s">
        <v>8</v>
      </c>
      <c r="E61">
        <v>500</v>
      </c>
      <c r="F61">
        <v>500</v>
      </c>
      <c r="G61" s="32">
        <f t="shared" si="0"/>
        <v>0</v>
      </c>
      <c r="H61" t="s">
        <v>114</v>
      </c>
      <c r="J61" s="35" t="s">
        <v>285</v>
      </c>
      <c r="K61" s="29" t="s">
        <v>17</v>
      </c>
    </row>
    <row r="62" spans="1:11" x14ac:dyDescent="0.35">
      <c r="A62" s="22" t="s">
        <v>275</v>
      </c>
      <c r="C62" s="28" t="s">
        <v>283</v>
      </c>
      <c r="D62" t="s">
        <v>8</v>
      </c>
      <c r="E62">
        <v>500</v>
      </c>
      <c r="F62">
        <v>500</v>
      </c>
      <c r="G62" s="32">
        <f t="shared" si="0"/>
        <v>0</v>
      </c>
      <c r="H62" t="s">
        <v>114</v>
      </c>
      <c r="J62" s="35" t="s">
        <v>285</v>
      </c>
      <c r="K62" s="29" t="s">
        <v>17</v>
      </c>
    </row>
  </sheetData>
  <autoFilter ref="A1:L62">
    <sortState ref="A2:L6">
      <sortCondition ref="J1"/>
    </sortState>
  </autoFilter>
  <dataConsolidate/>
  <phoneticPr fontId="6" type="noConversion"/>
  <conditionalFormatting sqref="C1">
    <cfRule type="duplicateValues" dxfId="4" priority="246"/>
  </conditionalFormatting>
  <conditionalFormatting sqref="D1:D1048576">
    <cfRule type="cellIs" dxfId="3" priority="66" operator="equal">
      <formula>"باقي الاشتراك"</formula>
    </cfRule>
  </conditionalFormatting>
  <conditionalFormatting sqref="G2:G62">
    <cfRule type="cellIs" dxfId="2" priority="101" operator="greaterThanOrEqual">
      <formula>1</formula>
    </cfRule>
  </conditionalFormatting>
  <conditionalFormatting sqref="H1 J2:J62">
    <cfRule type="cellIs" dxfId="1" priority="201" operator="equal">
      <formula>"نعم"</formula>
    </cfRule>
    <cfRule type="cellIs" dxfId="0" priority="202" operator="equal">
      <formula>"لا"</formula>
    </cfRule>
  </conditionalFormatting>
  <dataValidations count="4">
    <dataValidation type="list" allowBlank="1" showInputMessage="1" showErrorMessage="1" sqref="K1:K1048576">
      <formula1>$Q$1:$Q$2</formula1>
    </dataValidation>
    <dataValidation type="list" allowBlank="1" showInputMessage="1" showErrorMessage="1" sqref="H1:H1048576">
      <formula1>$R$1:$R$3</formula1>
    </dataValidation>
    <dataValidation type="list" allowBlank="1" showInputMessage="1" showErrorMessage="1" sqref="D1:D1048576">
      <formula1>$O:$O</formula1>
    </dataValidation>
    <dataValidation type="list" allowBlank="1" showInputMessage="1" showErrorMessage="1" sqref="I1:I1048576">
      <formula1>$P:$P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rightToLeft="1" tabSelected="1" topLeftCell="A4" zoomScale="70" zoomScaleNormal="70" workbookViewId="0">
      <selection activeCell="H29" sqref="H29"/>
    </sheetView>
  </sheetViews>
  <sheetFormatPr defaultRowHeight="14.5" x14ac:dyDescent="0.35"/>
  <cols>
    <col min="1" max="1" width="19" bestFit="1" customWidth="1"/>
    <col min="2" max="2" width="11" customWidth="1"/>
    <col min="3" max="3" width="12.54296875" customWidth="1"/>
    <col min="4" max="4" width="11.08984375" bestFit="1" customWidth="1"/>
    <col min="5" max="5" width="7.6328125" bestFit="1" customWidth="1"/>
    <col min="7" max="7" width="15.6328125" bestFit="1" customWidth="1"/>
    <col min="8" max="8" width="11.453125" bestFit="1" customWidth="1"/>
    <col min="9" max="9" width="9.90625" bestFit="1" customWidth="1"/>
    <col min="10" max="10" width="12" bestFit="1" customWidth="1"/>
    <col min="11" max="11" width="11.453125" bestFit="1" customWidth="1"/>
    <col min="17" max="17" width="10.6328125" bestFit="1" customWidth="1"/>
  </cols>
  <sheetData>
    <row r="1" spans="1:20" x14ac:dyDescent="0.35">
      <c r="B1" t="s">
        <v>72</v>
      </c>
      <c r="C1" t="s">
        <v>9</v>
      </c>
      <c r="D1" t="s">
        <v>73</v>
      </c>
      <c r="E1" t="s">
        <v>91</v>
      </c>
      <c r="G1" t="s">
        <v>93</v>
      </c>
      <c r="H1" t="s">
        <v>24</v>
      </c>
      <c r="I1" t="s">
        <v>10</v>
      </c>
      <c r="J1" t="s">
        <v>11</v>
      </c>
      <c r="K1" t="s">
        <v>23</v>
      </c>
      <c r="L1" t="s">
        <v>9</v>
      </c>
      <c r="M1" t="s">
        <v>112</v>
      </c>
      <c r="N1" t="s">
        <v>97</v>
      </c>
    </row>
    <row r="2" spans="1:20" x14ac:dyDescent="0.35">
      <c r="A2" s="12" t="s">
        <v>64</v>
      </c>
      <c r="B2" s="8">
        <f>COUNTIFS(الاشتراكات!D:D,"شهر",الاشتراكات!K:K,"رجال")</f>
        <v>32</v>
      </c>
      <c r="C2" s="1">
        <f>SUMIFS(الاشتراكات!E:E, الاشتراكات!D:D, "شهر", الاشتراكات!K:K, "رجال")</f>
        <v>17000</v>
      </c>
      <c r="D2" s="1">
        <f>SUMIFS(الاشتراكات!F:F, الاشتراكات!D:D, "شهر", الاشتراكات!K:K, "رجال")</f>
        <v>16800</v>
      </c>
      <c r="E2" s="1">
        <f>C2-D2</f>
        <v>200</v>
      </c>
      <c r="G2">
        <v>119</v>
      </c>
      <c r="H2">
        <v>154480</v>
      </c>
      <c r="I2">
        <v>132730</v>
      </c>
      <c r="J2">
        <v>21750</v>
      </c>
      <c r="K2">
        <v>84695</v>
      </c>
      <c r="L2">
        <v>48035</v>
      </c>
      <c r="M2">
        <v>0</v>
      </c>
      <c r="N2">
        <v>9</v>
      </c>
    </row>
    <row r="3" spans="1:20" x14ac:dyDescent="0.35">
      <c r="A3" s="12" t="s">
        <v>65</v>
      </c>
      <c r="B3" s="8">
        <f>COUNTIFS(الاشتراكات!D:D,"شهر",الاشتراكات!K:K,"سيدات")</f>
        <v>3</v>
      </c>
      <c r="C3" s="1">
        <f>SUMIFS(الاشتراكات!E:E, الاشتراكات!D:D, "شهر", الاشتراكات!K:K, "سيدات")</f>
        <v>1500</v>
      </c>
      <c r="D3" s="1">
        <f>SUMIFS(الاشتراكات!F:F, الاشتراكات!D:D, "شهر", الاشتراكات!K:K, "سيدات")</f>
        <v>1500</v>
      </c>
      <c r="E3" s="1">
        <f t="shared" ref="E3:E30" si="0">C3-D3</f>
        <v>0</v>
      </c>
      <c r="T3" s="21"/>
    </row>
    <row r="4" spans="1:20" x14ac:dyDescent="0.35">
      <c r="A4" s="12" t="s">
        <v>75</v>
      </c>
      <c r="B4" s="8">
        <f>COUNTIFS(الاشتراكات!D:D,"شهرين",الاشتراكات!K:K,"رجال")</f>
        <v>0</v>
      </c>
      <c r="C4" s="1">
        <f>SUMIFS(الاشتراكات!E:E, الاشتراكات!D:D, "شهرين", الاشتراكات!K:K, "رجال")</f>
        <v>0</v>
      </c>
      <c r="D4" s="1">
        <f>SUMIFS(الاشتراكات!F:F, الاشتراكات!D:D, "شهرين", الاشتراكات!K:K, "رجال")</f>
        <v>0</v>
      </c>
      <c r="E4" s="1">
        <f t="shared" si="0"/>
        <v>0</v>
      </c>
      <c r="G4" t="s">
        <v>93</v>
      </c>
      <c r="H4" t="s">
        <v>24</v>
      </c>
      <c r="I4" t="s">
        <v>10</v>
      </c>
      <c r="J4" t="s">
        <v>11</v>
      </c>
      <c r="K4" t="s">
        <v>23</v>
      </c>
      <c r="L4" t="s">
        <v>9</v>
      </c>
      <c r="N4" t="s">
        <v>97</v>
      </c>
      <c r="T4" s="21"/>
    </row>
    <row r="5" spans="1:20" x14ac:dyDescent="0.35">
      <c r="A5" s="12" t="s">
        <v>76</v>
      </c>
      <c r="B5" s="8">
        <f>COUNTIFS(الاشتراكات!D:D,"شهرين",الاشتراكات!K:K,"سيدات")</f>
        <v>0</v>
      </c>
      <c r="C5" s="1">
        <f>SUMIFS(الاشتراكات!E:E, الاشتراكات!D:D, "شهرين", الاشتراكات!K:K, "سيدات")</f>
        <v>0</v>
      </c>
      <c r="D5" s="1">
        <f>SUMIFS(الاشتراكات!F:F, الاشتراكات!D:D, "شهرين", الاشتراكات!K:K, "سيدات")</f>
        <v>0</v>
      </c>
      <c r="E5" s="1">
        <f t="shared" si="0"/>
        <v>0</v>
      </c>
      <c r="G5">
        <v>68</v>
      </c>
      <c r="H5">
        <v>87300</v>
      </c>
      <c r="I5">
        <v>68350</v>
      </c>
      <c r="J5">
        <v>18950</v>
      </c>
      <c r="K5">
        <v>50805</v>
      </c>
      <c r="L5">
        <v>17545</v>
      </c>
      <c r="M5">
        <v>0</v>
      </c>
      <c r="N5">
        <v>10</v>
      </c>
      <c r="T5" s="21"/>
    </row>
    <row r="6" spans="1:20" x14ac:dyDescent="0.35">
      <c r="A6" s="12" t="s">
        <v>66</v>
      </c>
      <c r="B6" s="8">
        <f>COUNTIFS(الاشتراكات!D:D,"3 شهور",الاشتراكات!K:K,"رجال")</f>
        <v>4</v>
      </c>
      <c r="C6" s="1">
        <f>SUMIFS(الاشتراكات!E:E, الاشتراكات!D:D, "3 شهور", الاشتراكات!K:K, "رجال")</f>
        <v>5400</v>
      </c>
      <c r="D6" s="1">
        <f>SUMIFS(الاشتراكات!F:F, الاشتراكات!D:D, "3 شهور", الاشتراكات!K:K, "رجال")</f>
        <v>5400</v>
      </c>
      <c r="E6" s="1">
        <f t="shared" si="0"/>
        <v>0</v>
      </c>
      <c r="T6" s="21"/>
    </row>
    <row r="7" spans="1:20" x14ac:dyDescent="0.35">
      <c r="A7" s="12" t="s">
        <v>67</v>
      </c>
      <c r="B7" s="8">
        <f>COUNTIFS(الاشتراكات!D:D,"3 شهور",الاشتراكات!K:K,"سيدات")</f>
        <v>2</v>
      </c>
      <c r="C7" s="1">
        <f>SUMIFS(الاشتراكات!E:E, الاشتراكات!D:D, "3 شهور", الاشتراكات!K:K, "سيدات")</f>
        <v>3200</v>
      </c>
      <c r="D7" s="1">
        <f>SUMIFS(الاشتراكات!F:F, الاشتراكات!D:D, "3 شهور", الاشتراكات!K:K, "سيدات")</f>
        <v>1000</v>
      </c>
      <c r="E7" s="1">
        <f t="shared" si="0"/>
        <v>2200</v>
      </c>
      <c r="G7" t="s">
        <v>93</v>
      </c>
      <c r="H7" t="s">
        <v>24</v>
      </c>
      <c r="I7" t="s">
        <v>10</v>
      </c>
      <c r="J7" t="s">
        <v>11</v>
      </c>
      <c r="K7" t="s">
        <v>23</v>
      </c>
      <c r="L7" t="s">
        <v>9</v>
      </c>
      <c r="N7" t="s">
        <v>97</v>
      </c>
      <c r="T7" s="21"/>
    </row>
    <row r="8" spans="1:20" x14ac:dyDescent="0.35">
      <c r="A8" s="12" t="s">
        <v>68</v>
      </c>
      <c r="B8" s="8">
        <f>COUNTIFS(الاشتراكات!D:D,"6 شهور",الاشتراكات!K:K,"رجال")</f>
        <v>2</v>
      </c>
      <c r="C8" s="1">
        <f>SUMIFS(الاشتراكات!E:E, الاشتراكات!D:D, "6 شهور", الاشتراكات!K:K, "رجال")</f>
        <v>4800</v>
      </c>
      <c r="D8" s="1">
        <f>SUMIFS(الاشتراكات!F:F, الاشتراكات!D:D, "6 شهور", الاشتراكات!K:K, "رجال")</f>
        <v>4800</v>
      </c>
      <c r="E8" s="1">
        <f t="shared" si="0"/>
        <v>0</v>
      </c>
      <c r="G8">
        <v>43</v>
      </c>
      <c r="H8">
        <v>53850</v>
      </c>
      <c r="I8">
        <v>45650</v>
      </c>
      <c r="J8">
        <v>8200</v>
      </c>
      <c r="K8">
        <v>42707</v>
      </c>
      <c r="L8">
        <v>2950</v>
      </c>
      <c r="M8">
        <v>2950</v>
      </c>
      <c r="N8">
        <v>11</v>
      </c>
      <c r="T8" s="21"/>
    </row>
    <row r="9" spans="1:20" x14ac:dyDescent="0.35">
      <c r="A9" s="12" t="s">
        <v>69</v>
      </c>
      <c r="B9" s="8">
        <f>COUNTIFS(الاشتراكات!D:D,"6 شهور",الاشتراكات!K:K,"سيدات")</f>
        <v>0</v>
      </c>
      <c r="C9" s="1">
        <f>SUMIFS(الاشتراكات!E:E, الاشتراكات!D:D, "6 شهور", الاشتراكات!K:K, "سيدات")</f>
        <v>0</v>
      </c>
      <c r="D9" s="1">
        <f>SUMIFS(الاشتراكات!F:F, الاشتراكات!D:D, "6 شهور", الاشتراكات!K:K, "سيدات")</f>
        <v>0</v>
      </c>
      <c r="E9" s="1">
        <f t="shared" si="0"/>
        <v>0</v>
      </c>
      <c r="T9" s="21"/>
    </row>
    <row r="10" spans="1:20" x14ac:dyDescent="0.35">
      <c r="A10" s="12" t="s">
        <v>70</v>
      </c>
      <c r="B10" s="8">
        <f>COUNTIFS(الاشتراكات!D:D,"سنة",الاشتراكات!K:K,"رجال")</f>
        <v>2</v>
      </c>
      <c r="C10" s="1">
        <f>SUMIFS(الاشتراكات!E:E, الاشتراكات!D:D, "سنة", الاشتراكات!K:K, "رجال")</f>
        <v>5800</v>
      </c>
      <c r="D10" s="1">
        <f>SUMIFS(الاشتراكات!F:F, الاشتراكات!D:D, "سنة", الاشتراكات!K:K, "رجال")</f>
        <v>5800</v>
      </c>
      <c r="E10" s="1">
        <f t="shared" si="0"/>
        <v>0</v>
      </c>
      <c r="T10" s="21"/>
    </row>
    <row r="11" spans="1:20" x14ac:dyDescent="0.35">
      <c r="A11" s="12" t="s">
        <v>71</v>
      </c>
      <c r="B11" s="8">
        <f>COUNTIFS(الاشتراكات!D:D,"سنة",الاشتراكات!K:K,"سيدات")</f>
        <v>0</v>
      </c>
      <c r="C11" s="1">
        <f>SUMIFS(الاشتراكات!E:E, الاشتراكات!D:D, "سنة", الاشتراكات!K:K, "سيدات")</f>
        <v>0</v>
      </c>
      <c r="D11" s="1">
        <f>SUMIFS(الاشتراكات!F:F, الاشتراكات!D:D, "سنة", الاشتراكات!K:K, "سيدات")</f>
        <v>0</v>
      </c>
      <c r="E11" s="1">
        <f t="shared" si="0"/>
        <v>0</v>
      </c>
      <c r="G11" t="s">
        <v>93</v>
      </c>
      <c r="H11" t="s">
        <v>24</v>
      </c>
      <c r="I11" t="s">
        <v>10</v>
      </c>
      <c r="J11" t="s">
        <v>11</v>
      </c>
      <c r="K11" t="s">
        <v>23</v>
      </c>
      <c r="L11" t="s">
        <v>9</v>
      </c>
      <c r="N11" t="s">
        <v>97</v>
      </c>
      <c r="T11" s="21"/>
    </row>
    <row r="12" spans="1:20" x14ac:dyDescent="0.35">
      <c r="A12" s="12" t="s">
        <v>77</v>
      </c>
      <c r="B12" s="8">
        <f>COUNTIFS(الاشتراكات!D:D,"برايفت 6 حصص",الاشتراكات!K:K,"رجال")</f>
        <v>0</v>
      </c>
      <c r="C12" s="1">
        <f>SUMIFS(الاشتراكات!E:E, الاشتراكات!D:D, "برايفت 6 حصص", الاشتراكات!K:K, "رجال")</f>
        <v>0</v>
      </c>
      <c r="D12" s="1">
        <f>SUMIFS(الاشتراكات!F:F, الاشتراكات!D:D, "برايفت 6 حصص", الاشتراكات!K:K, "رجال")</f>
        <v>0</v>
      </c>
      <c r="E12" s="1">
        <f t="shared" si="0"/>
        <v>0</v>
      </c>
      <c r="G12">
        <v>69</v>
      </c>
      <c r="H12">
        <v>82200</v>
      </c>
      <c r="I12">
        <v>67300</v>
      </c>
      <c r="J12">
        <v>14900</v>
      </c>
      <c r="K12">
        <v>46925</v>
      </c>
      <c r="L12">
        <v>22000</v>
      </c>
      <c r="M12">
        <v>0</v>
      </c>
      <c r="N12">
        <v>12</v>
      </c>
      <c r="T12" s="21"/>
    </row>
    <row r="13" spans="1:20" x14ac:dyDescent="0.35">
      <c r="A13" s="12" t="s">
        <v>78</v>
      </c>
      <c r="B13" s="8">
        <f>COUNTIFS(الاشتراكات!D:D,"برايفت 6 حصص",الاشتراكات!K:K,"سيدات")</f>
        <v>0</v>
      </c>
      <c r="C13" s="1">
        <f>SUMIFS(الاشتراكات!E:E, الاشتراكات!D:D, "برايفت 6 حصص", الاشتراكات!K:K, "سيدات")</f>
        <v>0</v>
      </c>
      <c r="D13" s="1">
        <f>SUMIFS(الاشتراكات!F:F, الاشتراكات!D:D, "برايفت 6 حصص", الاشتراكات!K:K, "سيدات")</f>
        <v>0</v>
      </c>
      <c r="E13" s="1">
        <f t="shared" si="0"/>
        <v>0</v>
      </c>
      <c r="T13" s="21"/>
    </row>
    <row r="14" spans="1:20" x14ac:dyDescent="0.35">
      <c r="A14" s="12" t="s">
        <v>262</v>
      </c>
      <c r="B14" s="8">
        <f>COUNTIFS(الاشتراكات!D:D,"برايفت 8 حصص",الاشتراكات!K:K,"رجال")</f>
        <v>0</v>
      </c>
      <c r="C14" s="1">
        <f>SUMIFS(الاشتراكات!E:E, الاشتراكات!D:D, "برايفت 8 حصص", الاشتراكات!K:K, "رجال")</f>
        <v>0</v>
      </c>
      <c r="D14" s="1">
        <f>SUMIFS(الاشتراكات!F:F, الاشتراكات!D:D, "برايفت 8 حصص", الاشتراكات!K:K, "رجال")</f>
        <v>0</v>
      </c>
      <c r="E14" s="1">
        <f t="shared" ref="E14:E15" si="1">C14-D14</f>
        <v>0</v>
      </c>
      <c r="G14" t="s">
        <v>93</v>
      </c>
      <c r="H14" t="s">
        <v>24</v>
      </c>
      <c r="I14" t="s">
        <v>10</v>
      </c>
      <c r="J14" t="s">
        <v>11</v>
      </c>
      <c r="K14" t="s">
        <v>23</v>
      </c>
      <c r="L14" t="s">
        <v>9</v>
      </c>
      <c r="N14" t="s">
        <v>97</v>
      </c>
      <c r="T14" s="21"/>
    </row>
    <row r="15" spans="1:20" x14ac:dyDescent="0.35">
      <c r="A15" s="12" t="s">
        <v>263</v>
      </c>
      <c r="B15" s="8">
        <f>COUNTIFS(الاشتراكات!D:D,"برايفت 8 حصص",الاشتراكات!K:K,"سيدات")</f>
        <v>2</v>
      </c>
      <c r="C15" s="1">
        <f>SUMIFS(الاشتراكات!E:E, الاشتراكات!D:D, "برايفت 8 حصص", الاشتراكات!K:K, "سيدات")</f>
        <v>2000</v>
      </c>
      <c r="D15" s="1">
        <f>SUMIFS(الاشتراكات!F:F, الاشتراكات!D:D, "برايفت 8 حصص", الاشتراكات!K:K, "سيدات")</f>
        <v>2000</v>
      </c>
      <c r="E15" s="1">
        <f t="shared" si="1"/>
        <v>0</v>
      </c>
      <c r="G15">
        <v>73</v>
      </c>
      <c r="H15">
        <v>69850</v>
      </c>
      <c r="I15">
        <v>56100</v>
      </c>
      <c r="J15">
        <v>13750</v>
      </c>
      <c r="K15">
        <v>41615</v>
      </c>
      <c r="L15">
        <v>14335</v>
      </c>
      <c r="M15">
        <v>0</v>
      </c>
      <c r="N15">
        <v>1</v>
      </c>
      <c r="T15" s="21"/>
    </row>
    <row r="16" spans="1:20" x14ac:dyDescent="0.35">
      <c r="A16" s="12" t="s">
        <v>79</v>
      </c>
      <c r="B16" s="8">
        <f>COUNTIFS(الاشتراكات!D:D,"برايفت 10 حصص",الاشتراكات!K:K,"رجال")</f>
        <v>3</v>
      </c>
      <c r="C16" s="1">
        <f>SUMIFS(الاشتراكات!E:E, الاشتراكات!D:D, "برايفت 10 حصص", الاشتراكات!K:K, "رجال")</f>
        <v>3000</v>
      </c>
      <c r="D16" s="1">
        <f>SUMIFS(الاشتراكات!F:F, الاشتراكات!D:D, "برايفت 10 حصص", الاشتراكات!K:K, "رجال")</f>
        <v>3000</v>
      </c>
      <c r="E16" s="1">
        <f t="shared" si="0"/>
        <v>0</v>
      </c>
      <c r="I16" s="1"/>
      <c r="T16" s="22"/>
    </row>
    <row r="17" spans="1:20" x14ac:dyDescent="0.35">
      <c r="A17" s="12" t="s">
        <v>80</v>
      </c>
      <c r="B17" s="8">
        <f>COUNTIFS(الاشتراكات!D:D,"برايفت 10 حصص",الاشتراكات!K:K,"سيدات")</f>
        <v>0</v>
      </c>
      <c r="C17" s="1">
        <f>SUMIFS(الاشتراكات!E:E, الاشتراكات!D:D, "برايفت 10 حصص", الاشتراكات!K:K, "سيدات")</f>
        <v>0</v>
      </c>
      <c r="D17" s="1">
        <f>SUMIFS(الاشتراكات!F:F, الاشتراكات!D:D, "برايفت 10 حصص", الاشتراكات!K:K, "سيدات")</f>
        <v>0</v>
      </c>
      <c r="E17" s="1">
        <f t="shared" si="0"/>
        <v>0</v>
      </c>
      <c r="T17" s="22"/>
    </row>
    <row r="18" spans="1:20" x14ac:dyDescent="0.35">
      <c r="A18" s="12" t="s">
        <v>81</v>
      </c>
      <c r="B18" s="8">
        <f>COUNTIFS(الاشتراكات!D:D,"برايفت 15 حصص",الاشتراكات!K:K,"رجال")</f>
        <v>0</v>
      </c>
      <c r="C18" s="1">
        <f>SUMIFS(الاشتراكات!E:E, الاشتراكات!D:D, "برايفت 15 حصص", الاشتراكات!K:K, "رجال")</f>
        <v>0</v>
      </c>
      <c r="D18" s="1">
        <f>SUMIFS(الاشتراكات!F:F, الاشتراكات!D:D, "برايفت 15 حصص", الاشتراكات!K:K, "رجال")</f>
        <v>0</v>
      </c>
      <c r="E18" s="1">
        <f t="shared" si="0"/>
        <v>0</v>
      </c>
      <c r="G18" t="s">
        <v>93</v>
      </c>
      <c r="H18" t="s">
        <v>24</v>
      </c>
      <c r="I18" t="s">
        <v>10</v>
      </c>
      <c r="J18" t="s">
        <v>11</v>
      </c>
      <c r="K18" t="s">
        <v>23</v>
      </c>
      <c r="L18" t="s">
        <v>9</v>
      </c>
      <c r="N18" t="s">
        <v>97</v>
      </c>
      <c r="T18" s="22"/>
    </row>
    <row r="19" spans="1:20" x14ac:dyDescent="0.35">
      <c r="A19" s="12" t="s">
        <v>82</v>
      </c>
      <c r="B19" s="8">
        <f>COUNTIFS(الاشتراكات!D:D,"برايفت 15 حصص",الاشتراكات!K:K,"سيدات")</f>
        <v>1</v>
      </c>
      <c r="C19" s="1">
        <f>SUMIFS(الاشتراكات!E:E, الاشتراكات!D:D, "برايفت 15 حصص", الاشتراكات!K:K, "سيدات")</f>
        <v>1200</v>
      </c>
      <c r="D19" s="1">
        <f>SUMIFS(الاشتراكات!F:F, الاشتراكات!D:D, "برايفت 15 حصص", الاشتراكات!K:K, "سيدات")</f>
        <v>1200</v>
      </c>
      <c r="E19" s="1">
        <f t="shared" si="0"/>
        <v>0</v>
      </c>
      <c r="G19">
        <f>SUM(B2:B33)</f>
        <v>61</v>
      </c>
      <c r="H19" s="1">
        <f>SUM(C2:C33)</f>
        <v>48300</v>
      </c>
      <c r="I19" s="1">
        <f>SUM(D2:D33)</f>
        <v>45900</v>
      </c>
      <c r="J19" s="1">
        <f>SUM(E2:E33)</f>
        <v>2400</v>
      </c>
      <c r="K19" s="1">
        <f>SUM(مصاريف!B:B)</f>
        <v>40540</v>
      </c>
      <c r="L19" s="1">
        <f>I19-K19</f>
        <v>5360</v>
      </c>
      <c r="M19" s="1"/>
      <c r="N19">
        <v>2</v>
      </c>
      <c r="T19" s="22"/>
    </row>
    <row r="20" spans="1:20" x14ac:dyDescent="0.35">
      <c r="A20" s="12" t="s">
        <v>83</v>
      </c>
      <c r="B20" s="8">
        <f>COUNTIFS(الاشتراكات!D:D,"برايفت 20 حصص",الاشتراكات!K:K,"رجال")</f>
        <v>0</v>
      </c>
      <c r="C20" s="1">
        <f>SUMIFS(الاشتراكات!E:E, الاشتراكات!D:D, "برايفت 20 حصص", الاشتراكات!K:K, "رجال")</f>
        <v>0</v>
      </c>
      <c r="D20" s="1">
        <f>SUMIFS(الاشتراكات!F:F, الاشتراكات!D:D, "برايفت 20 حصص", الاشتراكات!K:K, "رجال")</f>
        <v>0</v>
      </c>
      <c r="E20" s="1">
        <f t="shared" si="0"/>
        <v>0</v>
      </c>
      <c r="T20" s="22"/>
    </row>
    <row r="21" spans="1:20" x14ac:dyDescent="0.35">
      <c r="A21" s="12" t="s">
        <v>84</v>
      </c>
      <c r="B21" s="8">
        <f>COUNTIFS(الاشتراكات!D:D,"برايفت 20 حصص",الاشتراكات!K:K,"سيدات")</f>
        <v>0</v>
      </c>
      <c r="C21" s="1">
        <f>SUMIFS(الاشتراكات!E:E, الاشتراكات!D:D, "برايفت 20 حصص", الاشتراكات!K:K, "سيدات")</f>
        <v>0</v>
      </c>
      <c r="D21" s="1">
        <f>SUMIFS(الاشتراكات!F:F, الاشتراكات!D:D, "برايفت 20 حصص", الاشتراكات!K:K, "سيدات")</f>
        <v>0</v>
      </c>
      <c r="E21" s="1">
        <f t="shared" si="0"/>
        <v>0</v>
      </c>
      <c r="T21" s="22"/>
    </row>
    <row r="22" spans="1:20" x14ac:dyDescent="0.35">
      <c r="A22" s="12" t="s">
        <v>105</v>
      </c>
      <c r="B22" s="8">
        <f>COUNTIFS(الاشتراكات!D:D,"برايفت 30 حصص",الاشتراكات!K:K,"رجال")</f>
        <v>0</v>
      </c>
      <c r="C22" s="1">
        <f>SUMIFS(الاشتراكات!E:E, الاشتراكات!D:D, "برايفت 30 حصص", الاشتراكات!K:K, "رجال")</f>
        <v>0</v>
      </c>
      <c r="D22" s="1">
        <f>SUMIFS(الاشتراكات!F:F, الاشتراكات!D:D, "برايفت 30 حصص", الاشتراكات!K:K, "رجال")</f>
        <v>0</v>
      </c>
      <c r="E22" s="1">
        <f t="shared" si="0"/>
        <v>0</v>
      </c>
      <c r="T22" s="22"/>
    </row>
    <row r="23" spans="1:20" x14ac:dyDescent="0.35">
      <c r="A23" s="12" t="s">
        <v>106</v>
      </c>
      <c r="B23" s="8">
        <f>COUNTIFS(الاشتراكات!D:D,"برايفت 30 حصص",الاشتراكات!K:K,"سيدات")</f>
        <v>0</v>
      </c>
      <c r="C23" s="1">
        <f>SUMIFS(الاشتراكات!E:E, الاشتراكات!D:D, "برايفت 30 حصص", الاشتراكات!K:K, "سيدات")</f>
        <v>0</v>
      </c>
      <c r="D23" s="1">
        <f>SUMIFS(الاشتراكات!F:F, الاشتراكات!D:D, "برايفت 20 حصص", الاشتراكات!K:K, "سيدات")</f>
        <v>0</v>
      </c>
      <c r="E23" s="1">
        <f t="shared" si="0"/>
        <v>0</v>
      </c>
      <c r="T23" s="22"/>
    </row>
    <row r="24" spans="1:20" x14ac:dyDescent="0.35">
      <c r="A24" s="12" t="s">
        <v>85</v>
      </c>
      <c r="B24">
        <f>COUNTIFS(الاشتراكات!D:D,"حصة برايفت",الاشتراكات!K:K,"رجال")</f>
        <v>0</v>
      </c>
      <c r="C24" s="1">
        <f>SUMIFS(الاشتراكات!E:E, الاشتراكات!D:D, "حصة برايفت", الاشتراكات!K:K, "رجال")</f>
        <v>0</v>
      </c>
      <c r="D24" s="1">
        <f>SUMIFS(الاشتراكات!F:F, الاشتراكات!D:D, "حصة برايفت", الاشتراكات!K:K, "رجال")</f>
        <v>0</v>
      </c>
      <c r="E24" s="1">
        <f t="shared" si="0"/>
        <v>0</v>
      </c>
      <c r="T24" s="22"/>
    </row>
    <row r="25" spans="1:20" x14ac:dyDescent="0.35">
      <c r="A25" s="12" t="s">
        <v>86</v>
      </c>
      <c r="B25">
        <f>COUNTIFS(الاشتراكات!D:D,"حصة برايفت",الاشتراكات!K:K,"سيدات")</f>
        <v>0</v>
      </c>
      <c r="C25" s="1">
        <f>SUMIFS(الاشتراكات!E:E, الاشتراكات!D:D, "حصة برايفت", الاشتراكات!K:K, "سيدات")</f>
        <v>0</v>
      </c>
      <c r="D25" s="1">
        <f>SUMIFS(الاشتراكات!F:F, الاشتراكات!D:D, "حصة برايفت", الاشتراكات!K:K, "سيدات")</f>
        <v>0</v>
      </c>
      <c r="E25" s="1">
        <f t="shared" si="0"/>
        <v>0</v>
      </c>
      <c r="T25" s="22"/>
    </row>
    <row r="26" spans="1:20" x14ac:dyDescent="0.35">
      <c r="A26" s="12" t="s">
        <v>87</v>
      </c>
      <c r="B26">
        <f>COUNTIFS(الاشتراكات!D:D,"جدول تدريب",الاشتراكات!K:K,"رجال")</f>
        <v>0</v>
      </c>
      <c r="C26" s="1">
        <f>SUMIFS(الاشتراكات!E:E, الاشتراكات!D:D, "جدول تدريب", الاشتراكات!K:K, "رجال")</f>
        <v>0</v>
      </c>
      <c r="D26" s="1">
        <f>SUMIFS(الاشتراكات!F:F, الاشتراكات!D:D, "جدول تدريب", الاشتراكات!K:K, "رجال")</f>
        <v>0</v>
      </c>
      <c r="E26" s="1">
        <f t="shared" si="0"/>
        <v>0</v>
      </c>
      <c r="T26" s="22"/>
    </row>
    <row r="27" spans="1:20" x14ac:dyDescent="0.35">
      <c r="A27" s="12" t="s">
        <v>88</v>
      </c>
      <c r="B27">
        <f>COUNTIFS(الاشتراكات!D:D,"جدول تدريب",الاشتراكات!K:K,"سيدات")</f>
        <v>0</v>
      </c>
      <c r="C27" s="1">
        <f>SUMIFS(الاشتراكات!E:E, الاشتراكات!D:D, "جدول تدريب", الاشتراكات!K:K, "سيدات")</f>
        <v>0</v>
      </c>
      <c r="D27" s="1">
        <f>SUMIFS(الاشتراكات!F:F, الاشتراكات!D:D, "جدول تدريب", الاشتراكات!K:K, "سيدات")</f>
        <v>0</v>
      </c>
      <c r="E27" s="1">
        <f t="shared" si="0"/>
        <v>0</v>
      </c>
      <c r="T27" s="22"/>
    </row>
    <row r="28" spans="1:20" x14ac:dyDescent="0.35">
      <c r="A28" s="12" t="s">
        <v>89</v>
      </c>
      <c r="B28">
        <f>COUNTIFS(الاشتراكات!D:D,"جدول تغذية",الاشتراكات!K:K,"رجال")</f>
        <v>0</v>
      </c>
      <c r="C28" s="1">
        <f>SUMIFS(الاشتراكات!E:E, الاشتراكات!D:D, "جدول تغذية", الاشتراكات!K:K, "رجال")</f>
        <v>0</v>
      </c>
      <c r="D28" s="1">
        <f>SUMIFS(الاشتراكات!F:F, الاشتراكات!D:D, "جدول تغذية", الاشتراكات!K:K, "رجال")</f>
        <v>0</v>
      </c>
      <c r="E28" s="1">
        <f t="shared" si="0"/>
        <v>0</v>
      </c>
    </row>
    <row r="29" spans="1:20" x14ac:dyDescent="0.35">
      <c r="A29" s="13" t="s">
        <v>90</v>
      </c>
      <c r="B29">
        <f>COUNTIFS(الاشتراكات!D:D,"جدول تغذية",الاشتراكات!K:K,"سيدات")</f>
        <v>0</v>
      </c>
      <c r="C29" s="1">
        <f>SUMIFS(الاشتراكات!E:E, الاشتراكات!D:D, "جدول تغذية", الاشتراكات!K:K, "سيدات")</f>
        <v>0</v>
      </c>
      <c r="D29" s="1">
        <f>SUMIFS(الاشتراكات!F:F, الاشتراكات!D:D, "جدول تغذية", الاشتراكات!K:K, "سيدات")</f>
        <v>0</v>
      </c>
      <c r="E29" s="1">
        <f t="shared" si="0"/>
        <v>0</v>
      </c>
    </row>
    <row r="30" spans="1:20" x14ac:dyDescent="0.35">
      <c r="A30" t="s">
        <v>74</v>
      </c>
      <c r="B30">
        <f>COUNTIFS(الاشتراكات!D:D,"حصة يومي")</f>
        <v>3</v>
      </c>
      <c r="C30" s="1">
        <f>SUMIFS(الاشتراكات!E:E, الاشتراكات!D:D, "حصة يومي")</f>
        <v>300</v>
      </c>
      <c r="D30" s="1">
        <f>SUMIFS(الاشتراكات!F:F, الاشتراكات!D:D, "حصة يومي")</f>
        <v>300</v>
      </c>
      <c r="E30" s="1">
        <f t="shared" si="0"/>
        <v>0</v>
      </c>
    </row>
    <row r="31" spans="1:20" x14ac:dyDescent="0.35">
      <c r="A31" s="10" t="s">
        <v>92</v>
      </c>
      <c r="B31">
        <f>COUNTIFS(الاشتراكات!D:D,"غرامة")</f>
        <v>0</v>
      </c>
      <c r="C31" s="1">
        <f>SUMIFS(الاشتراكات!E:E, الاشتراكات!D:D, "غرامة")</f>
        <v>0</v>
      </c>
      <c r="D31" s="1">
        <f>SUMIFS(الاشتراكات!F:F, الاشتراكات!D:D, "غرامة")</f>
        <v>0</v>
      </c>
      <c r="E31" s="1">
        <f>C31-D31</f>
        <v>0</v>
      </c>
    </row>
    <row r="32" spans="1:20" x14ac:dyDescent="0.35">
      <c r="A32" s="10" t="s">
        <v>100</v>
      </c>
      <c r="B32">
        <f>COUNTIFS(الاشتراكات!D:D,"باقي الاشتراك")</f>
        <v>7</v>
      </c>
      <c r="C32" s="1">
        <f>SUMIFS(الاشتراكات!E:E, الاشتراكات!D:D, "باقي الاشتراك")</f>
        <v>4100</v>
      </c>
      <c r="D32" s="1">
        <f>SUMIFS(الاشتراكات!F:F, الاشتراكات!D:D, "باقي الاشتراك")</f>
        <v>4100</v>
      </c>
      <c r="E32" s="1">
        <f>C32-D32</f>
        <v>0</v>
      </c>
    </row>
    <row r="33" spans="1:5" x14ac:dyDescent="0.35">
      <c r="A33" t="s">
        <v>113</v>
      </c>
      <c r="B33">
        <f>COUNTIFS(الاشتراكات!C:C,"احمد سيف")</f>
        <v>0</v>
      </c>
      <c r="C33" s="1">
        <f>SUMIFS(الاشتراكات!E:E,الاشتراكات!C:C,"احمد سيف")</f>
        <v>0</v>
      </c>
      <c r="D33" s="1">
        <f>SUMIFS(الاشتراكات!F:F,الاشتراكات!C:C,"احمد سيف")</f>
        <v>0</v>
      </c>
      <c r="E33" s="1">
        <f>C33-D33</f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rightToLeft="1" workbookViewId="0">
      <selection activeCell="B2" sqref="B2"/>
    </sheetView>
  </sheetViews>
  <sheetFormatPr defaultRowHeight="14.5" x14ac:dyDescent="0.35"/>
  <cols>
    <col min="1" max="1" width="13.36328125" bestFit="1" customWidth="1"/>
    <col min="3" max="3" width="10.36328125" bestFit="1" customWidth="1"/>
  </cols>
  <sheetData>
    <row r="1" spans="1:4" x14ac:dyDescent="0.35">
      <c r="A1" t="s">
        <v>18</v>
      </c>
      <c r="B1" t="s">
        <v>19</v>
      </c>
      <c r="C1" s="26" t="s">
        <v>20</v>
      </c>
    </row>
    <row r="2" spans="1:4" x14ac:dyDescent="0.35">
      <c r="A2" t="s">
        <v>57</v>
      </c>
      <c r="B2">
        <v>14850</v>
      </c>
      <c r="C2" s="27"/>
      <c r="D2">
        <f>SUM(مرتبات!F:F)</f>
        <v>14850</v>
      </c>
    </row>
    <row r="3" spans="1:4" x14ac:dyDescent="0.35">
      <c r="A3" t="s">
        <v>200</v>
      </c>
      <c r="B3">
        <f>SUM(مرتبات!C:C)</f>
        <v>3700</v>
      </c>
      <c r="C3" s="34"/>
    </row>
    <row r="4" spans="1:4" x14ac:dyDescent="0.35">
      <c r="A4" t="s">
        <v>134</v>
      </c>
      <c r="B4">
        <v>2600</v>
      </c>
      <c r="C4" s="2">
        <v>46054</v>
      </c>
    </row>
    <row r="5" spans="1:4" x14ac:dyDescent="0.35">
      <c r="A5" t="s">
        <v>167</v>
      </c>
      <c r="B5">
        <v>100</v>
      </c>
      <c r="C5" s="2" t="s">
        <v>139</v>
      </c>
    </row>
    <row r="6" spans="1:4" x14ac:dyDescent="0.35">
      <c r="A6" s="22" t="s">
        <v>168</v>
      </c>
      <c r="B6" s="22">
        <v>300</v>
      </c>
      <c r="C6" s="30" t="s">
        <v>165</v>
      </c>
    </row>
    <row r="7" spans="1:4" x14ac:dyDescent="0.35">
      <c r="A7" s="22" t="s">
        <v>168</v>
      </c>
      <c r="B7" s="22">
        <v>500</v>
      </c>
      <c r="C7" s="30" t="s">
        <v>199</v>
      </c>
    </row>
    <row r="8" spans="1:4" x14ac:dyDescent="0.35">
      <c r="A8" t="s">
        <v>21</v>
      </c>
      <c r="B8">
        <v>10000</v>
      </c>
      <c r="C8" s="2"/>
    </row>
    <row r="9" spans="1:4" x14ac:dyDescent="0.35">
      <c r="A9" t="s">
        <v>168</v>
      </c>
      <c r="B9">
        <v>300</v>
      </c>
      <c r="C9" s="2" t="s">
        <v>226</v>
      </c>
    </row>
    <row r="10" spans="1:4" x14ac:dyDescent="0.35">
      <c r="A10" t="s">
        <v>21</v>
      </c>
      <c r="B10">
        <v>7400</v>
      </c>
      <c r="C10" s="2" t="s">
        <v>226</v>
      </c>
    </row>
    <row r="11" spans="1:4" x14ac:dyDescent="0.35">
      <c r="A11" t="s">
        <v>227</v>
      </c>
      <c r="B11">
        <v>290</v>
      </c>
      <c r="C11" s="2" t="s">
        <v>226</v>
      </c>
    </row>
    <row r="12" spans="1:4" x14ac:dyDescent="0.35">
      <c r="A12" t="s">
        <v>168</v>
      </c>
      <c r="B12">
        <v>500</v>
      </c>
      <c r="C12" s="2" t="s">
        <v>268</v>
      </c>
    </row>
    <row r="13" spans="1:4" x14ac:dyDescent="0.35">
      <c r="C13" s="2"/>
    </row>
    <row r="14" spans="1:4" x14ac:dyDescent="0.35">
      <c r="C1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rightToLeft="1" workbookViewId="0">
      <selection activeCell="B6" sqref="B6"/>
    </sheetView>
  </sheetViews>
  <sheetFormatPr defaultRowHeight="14.5" x14ac:dyDescent="0.35"/>
  <cols>
    <col min="1" max="1" width="12.6328125" bestFit="1" customWidth="1"/>
    <col min="5" max="5" width="24.08984375" bestFit="1" customWidth="1"/>
    <col min="7" max="7" width="17.81640625" bestFit="1" customWidth="1"/>
  </cols>
  <sheetData>
    <row r="1" spans="1:7" x14ac:dyDescent="0.35">
      <c r="B1" t="s">
        <v>110</v>
      </c>
      <c r="C1" t="s">
        <v>200</v>
      </c>
      <c r="D1" t="s">
        <v>111</v>
      </c>
      <c r="E1" t="s">
        <v>12</v>
      </c>
      <c r="F1" t="s">
        <v>9</v>
      </c>
    </row>
    <row r="2" spans="1:7" x14ac:dyDescent="0.35">
      <c r="A2" t="s">
        <v>45</v>
      </c>
      <c r="B2">
        <v>3500</v>
      </c>
      <c r="C2">
        <v>3000</v>
      </c>
      <c r="E2" t="s">
        <v>109</v>
      </c>
      <c r="F2">
        <f t="shared" ref="F2:F8" si="0">B2-C2</f>
        <v>500</v>
      </c>
    </row>
    <row r="3" spans="1:7" x14ac:dyDescent="0.35">
      <c r="A3" t="s">
        <v>108</v>
      </c>
      <c r="B3">
        <v>2700</v>
      </c>
      <c r="C3">
        <v>700</v>
      </c>
      <c r="E3" t="s">
        <v>109</v>
      </c>
      <c r="F3">
        <f t="shared" si="0"/>
        <v>2000</v>
      </c>
    </row>
    <row r="4" spans="1:7" x14ac:dyDescent="0.35">
      <c r="A4" t="s">
        <v>52</v>
      </c>
      <c r="B4">
        <v>1600</v>
      </c>
      <c r="F4">
        <f>B4-C4</f>
        <v>1600</v>
      </c>
    </row>
    <row r="5" spans="1:7" x14ac:dyDescent="0.35">
      <c r="A5" t="s">
        <v>286</v>
      </c>
      <c r="B5">
        <v>3250</v>
      </c>
      <c r="F5">
        <f>B5-C5</f>
        <v>3250</v>
      </c>
      <c r="G5">
        <v>750</v>
      </c>
    </row>
    <row r="6" spans="1:7" x14ac:dyDescent="0.35">
      <c r="A6" t="s">
        <v>48</v>
      </c>
      <c r="B6">
        <v>5000</v>
      </c>
      <c r="E6" t="s">
        <v>109</v>
      </c>
      <c r="F6">
        <f t="shared" si="0"/>
        <v>5000</v>
      </c>
    </row>
    <row r="7" spans="1:7" x14ac:dyDescent="0.35">
      <c r="A7" t="s">
        <v>50</v>
      </c>
      <c r="B7">
        <f>SUMIF(الاشتراكات!I:I, "كابتن خالد", الاشتراكات!E:E)/2</f>
        <v>1500</v>
      </c>
      <c r="F7">
        <f t="shared" si="0"/>
        <v>1500</v>
      </c>
    </row>
    <row r="8" spans="1:7" x14ac:dyDescent="0.35">
      <c r="A8" t="s">
        <v>270</v>
      </c>
      <c r="B8">
        <f>SUMIF(الاشتراكات!I:I, "كابتن اشرقت", الاشتراكات!E:E)/2</f>
        <v>1000</v>
      </c>
      <c r="F8">
        <f t="shared" si="0"/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اجمالى 9</vt:lpstr>
      <vt:lpstr>مصاريف 9</vt:lpstr>
      <vt:lpstr> 9مرتبات</vt:lpstr>
      <vt:lpstr>الاشتراكات</vt:lpstr>
      <vt:lpstr>اجمالى</vt:lpstr>
      <vt:lpstr>مصاريف</vt:lpstr>
      <vt:lpstr>مرتبات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 Gym</dc:creator>
  <cp:lastModifiedBy>Ahmed Magdy</cp:lastModifiedBy>
  <dcterms:created xsi:type="dcterms:W3CDTF">2015-06-05T18:17:20Z</dcterms:created>
  <dcterms:modified xsi:type="dcterms:W3CDTF">2026-03-16T23:52:09Z</dcterms:modified>
</cp:coreProperties>
</file>